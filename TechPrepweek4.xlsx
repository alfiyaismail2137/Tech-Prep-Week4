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9.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Entri App Study Meterials\TechPrep\"/>
    </mc:Choice>
  </mc:AlternateContent>
  <xr:revisionPtr revIDLastSave="0" documentId="13_ncr:1_{DE719A0A-66BC-4E69-BE48-66D705BFA023}" xr6:coauthVersionLast="47" xr6:coauthVersionMax="47" xr10:uidLastSave="{00000000-0000-0000-0000-000000000000}"/>
  <bookViews>
    <workbookView xWindow="-108" yWindow="-108" windowWidth="23256" windowHeight="12576" firstSheet="6" activeTab="11" xr2:uid="{A79D240C-B239-4F27-8EA3-A2690AC2D44D}"/>
  </bookViews>
  <sheets>
    <sheet name="Sheet6" sheetId="6" r:id="rId1"/>
    <sheet name="Sheet8" sheetId="8" r:id="rId2"/>
    <sheet name="Dashboard" sheetId="10" r:id="rId3"/>
    <sheet name="Sheet3" sheetId="11" r:id="rId4"/>
    <sheet name="PivotTable" sheetId="4" r:id="rId5"/>
    <sheet name="Sales" sheetId="1" r:id="rId6"/>
    <sheet name="Products" sheetId="2" r:id="rId7"/>
    <sheet name="Result QA1" sheetId="12" r:id="rId8"/>
    <sheet name="QA Pivot table" sheetId="13" r:id="rId9"/>
    <sheet name="QA2" sheetId="14" r:id="rId10"/>
    <sheet name="Quick Analysis" sheetId="5" r:id="rId11"/>
    <sheet name="Region" sheetId="3" r:id="rId12"/>
  </sheets>
  <definedNames>
    <definedName name="_xlcn.WorksheetConnection_TechPrep4.xlsxTable11" hidden="1">Table1[]</definedName>
    <definedName name="_xlcn.WorksheetConnection_TechPrep4.xlsxTable131" hidden="1">Table13[]</definedName>
    <definedName name="_xlcn.WorksheetConnection_TechPrep4.xlsxTable31" hidden="1">Table3[]</definedName>
    <definedName name="_xlcn.WorksheetConnection_TechPrep4.xlsxTable51" hidden="1">Table5[]</definedName>
    <definedName name="Slicer_Category">#N/A</definedName>
    <definedName name="Slicer_RegionName">#N/A</definedName>
  </definedNames>
  <calcPr calcId="191029"/>
  <pivotCaches>
    <pivotCache cacheId="0" r:id="rId13"/>
    <pivotCache cacheId="6" r:id="rId14"/>
    <pivotCache cacheId="7" r:id="rId15"/>
    <pivotCache cacheId="8" r:id="rId16"/>
    <pivotCache cacheId="70" r:id="rId17"/>
    <pivotCache cacheId="71" r:id="rId18"/>
    <pivotCache cacheId="72" r:id="rId19"/>
    <pivotCache cacheId="74" r:id="rId20"/>
    <pivotCache cacheId="86" r:id="rId21"/>
    <pivotCache cacheId="182" r:id="rId22"/>
  </pivotCaches>
  <extLst>
    <ext xmlns:x14="http://schemas.microsoft.com/office/spreadsheetml/2009/9/main" uri="{876F7934-8845-4945-9796-88D515C7AA90}">
      <x14:pivotCaches>
        <pivotCache cacheId="9" r:id="rId23"/>
      </x14:pivotCaches>
    </ex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5" name="Table5" connection="WorksheetConnection_TechPrep4.xlsx!Table5"/>
          <x15:modelTable id="Table3" name="Table3" connection="WorksheetConnection_TechPrep4.xlsx!Table3"/>
          <x15:modelTable id="Table13" name="Table13" connection="WorksheetConnection_TechPrep4.xlsx!Table13"/>
          <x15:modelTable id="Table1" name="Table1" connection="WorksheetConnection_TechPrep4.xlsx!Table1"/>
        </x15:modelTables>
        <x15:modelRelationships>
          <x15:modelRelationship fromTable="Table1" fromColumn="ProductID" toTable="Table3" toColumn="ProductID"/>
          <x15:modelRelationship fromTable="Table1" fromColumn="ProductID" toTable="Table13" toColumn="Product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1" i="5" l="1"/>
  <c r="F31" i="5"/>
  <c r="G30" i="5"/>
  <c r="F30" i="5"/>
  <c r="G29" i="5"/>
  <c r="F29" i="5"/>
  <c r="G28" i="5"/>
  <c r="F28" i="5"/>
  <c r="G27" i="5"/>
  <c r="F27" i="5"/>
  <c r="G26" i="5"/>
  <c r="F26" i="5"/>
  <c r="G25" i="5"/>
  <c r="F25" i="5"/>
  <c r="G24" i="5"/>
  <c r="F24" i="5"/>
  <c r="G23" i="5"/>
  <c r="F23" i="5"/>
  <c r="G22" i="5"/>
  <c r="F22" i="5"/>
  <c r="G21" i="5"/>
  <c r="F21" i="5"/>
  <c r="G20" i="5"/>
  <c r="F20" i="5"/>
  <c r="G19" i="5"/>
  <c r="F19" i="5"/>
  <c r="G18" i="5"/>
  <c r="F18" i="5"/>
  <c r="G17" i="5"/>
  <c r="F17" i="5"/>
  <c r="G16" i="5"/>
  <c r="F16" i="5"/>
  <c r="G15" i="5"/>
  <c r="F15" i="5"/>
  <c r="G14" i="5"/>
  <c r="F14" i="5"/>
  <c r="G13" i="5"/>
  <c r="F13" i="5"/>
  <c r="G12" i="5"/>
  <c r="F12" i="5"/>
  <c r="G11" i="5"/>
  <c r="F11" i="5"/>
  <c r="G10" i="5"/>
  <c r="F10" i="5"/>
  <c r="G9" i="5"/>
  <c r="F9" i="5"/>
  <c r="G8" i="5"/>
  <c r="F8" i="5"/>
  <c r="G7" i="5"/>
  <c r="F7" i="5"/>
  <c r="G6" i="5"/>
  <c r="F6" i="5"/>
  <c r="G5" i="5"/>
  <c r="F5" i="5"/>
  <c r="G4" i="5"/>
  <c r="F4" i="5"/>
  <c r="G3" i="5"/>
  <c r="F3" i="5"/>
  <c r="G2" i="5"/>
  <c r="F2" i="5"/>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2" i="1"/>
  <c r="C28" i="6"/>
  <c r="B28"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9E0FC4-2EBC-49D0-A917-FFEE98F3E90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52F69DD-5BC0-47D0-90EB-1871FB267266}" name="WorksheetConnection_TechPrep4.xlsx!Table1" type="102" refreshedVersion="8" minRefreshableVersion="5">
    <extLst>
      <ext xmlns:x15="http://schemas.microsoft.com/office/spreadsheetml/2010/11/main" uri="{DE250136-89BD-433C-8126-D09CA5730AF9}">
        <x15:connection id="Table1">
          <x15:rangePr sourceName="_xlcn.WorksheetConnection_TechPrep4.xlsxTable11"/>
        </x15:connection>
      </ext>
    </extLst>
  </connection>
  <connection id="3" xr16:uid="{2B560354-CBF8-4EE2-AC5C-CC5176420E11}" name="WorksheetConnection_TechPrep4.xlsx!Table13" type="102" refreshedVersion="8" minRefreshableVersion="5">
    <extLst>
      <ext xmlns:x15="http://schemas.microsoft.com/office/spreadsheetml/2010/11/main" uri="{DE250136-89BD-433C-8126-D09CA5730AF9}">
        <x15:connection id="Table13">
          <x15:rangePr sourceName="_xlcn.WorksheetConnection_TechPrep4.xlsxTable131"/>
        </x15:connection>
      </ext>
    </extLst>
  </connection>
  <connection id="4" xr16:uid="{578F0971-282C-4F8B-8D2F-F28D9E7708B0}" name="WorksheetConnection_TechPrep4.xlsx!Table3" type="102" refreshedVersion="8" minRefreshableVersion="5">
    <extLst>
      <ext xmlns:x15="http://schemas.microsoft.com/office/spreadsheetml/2010/11/main" uri="{DE250136-89BD-433C-8126-D09CA5730AF9}">
        <x15:connection id="Table3">
          <x15:rangePr sourceName="_xlcn.WorksheetConnection_TechPrep4.xlsxTable31"/>
        </x15:connection>
      </ext>
    </extLst>
  </connection>
  <connection id="5" xr16:uid="{CA0C75E9-E1B1-45C5-9B07-049C665BA93C}" name="WorksheetConnection_TechPrep4.xlsx!Table5" type="102" refreshedVersion="8" minRefreshableVersion="5">
    <extLst>
      <ext xmlns:x15="http://schemas.microsoft.com/office/spreadsheetml/2010/11/main" uri="{DE250136-89BD-433C-8126-D09CA5730AF9}">
        <x15:connection id="Table5">
          <x15:rangePr sourceName="_xlcn.WorksheetConnection_TechPrep4.xlsxTable51"/>
        </x15:connection>
      </ext>
    </extLst>
  </connection>
</connections>
</file>

<file path=xl/sharedStrings.xml><?xml version="1.0" encoding="utf-8"?>
<sst xmlns="http://schemas.openxmlformats.org/spreadsheetml/2006/main" count="483" uniqueCount="146">
  <si>
    <t>OrderID</t>
  </si>
  <si>
    <t>OrderDate</t>
  </si>
  <si>
    <t>ProductID</t>
  </si>
  <si>
    <t>Quantity</t>
  </si>
  <si>
    <t>SalesAmount</t>
  </si>
  <si>
    <t>ProductName</t>
  </si>
  <si>
    <t>Category</t>
  </si>
  <si>
    <t>RegionID</t>
  </si>
  <si>
    <t>RegionName</t>
  </si>
  <si>
    <t>ORD1047</t>
  </si>
  <si>
    <t>ORD1029</t>
  </si>
  <si>
    <t>ORD1075</t>
  </si>
  <si>
    <t>ORD1115</t>
  </si>
  <si>
    <t>ORD1072</t>
  </si>
  <si>
    <t>ORD1036</t>
  </si>
  <si>
    <t>ORD1053</t>
  </si>
  <si>
    <t>ORD1007</t>
  </si>
  <si>
    <t>ORD1132</t>
  </si>
  <si>
    <t>ORD1067</t>
  </si>
  <si>
    <t>ORD1110</t>
  </si>
  <si>
    <t>ORD1145</t>
  </si>
  <si>
    <t>ORD1054</t>
  </si>
  <si>
    <t>ORD1071</t>
  </si>
  <si>
    <t>ORD1118</t>
  </si>
  <si>
    <t>ORD1134</t>
  </si>
  <si>
    <t>ORD1127</t>
  </si>
  <si>
    <t>ORD1046</t>
  </si>
  <si>
    <t>ORD1028</t>
  </si>
  <si>
    <t>ORD1044</t>
  </si>
  <si>
    <t>ORD1106</t>
  </si>
  <si>
    <t>ORD1013</t>
  </si>
  <si>
    <t>ORD1100</t>
  </si>
  <si>
    <t>ORD1124</t>
  </si>
  <si>
    <t>ORD1061</t>
  </si>
  <si>
    <t>ORD1089</t>
  </si>
  <si>
    <t>ORD1070</t>
  </si>
  <si>
    <t>ORD1079</t>
  </si>
  <si>
    <t>ORD1096</t>
  </si>
  <si>
    <t>East</t>
  </si>
  <si>
    <t>North</t>
  </si>
  <si>
    <t>West</t>
  </si>
  <si>
    <t>South</t>
  </si>
  <si>
    <t>RG01</t>
  </si>
  <si>
    <t>RG02</t>
  </si>
  <si>
    <t>RG03</t>
  </si>
  <si>
    <t>RG04</t>
  </si>
  <si>
    <t>RG05</t>
  </si>
  <si>
    <t>RG06</t>
  </si>
  <si>
    <t>RG07</t>
  </si>
  <si>
    <t>RG08</t>
  </si>
  <si>
    <t>RG09</t>
  </si>
  <si>
    <t>RG10</t>
  </si>
  <si>
    <t>RG11</t>
  </si>
  <si>
    <t>RG12</t>
  </si>
  <si>
    <t>RG13</t>
  </si>
  <si>
    <t>RG14</t>
  </si>
  <si>
    <t>RG15</t>
  </si>
  <si>
    <t>RG16</t>
  </si>
  <si>
    <t>RG17</t>
  </si>
  <si>
    <t>RG18</t>
  </si>
  <si>
    <t>RG19</t>
  </si>
  <si>
    <t>RG20</t>
  </si>
  <si>
    <t>RG21</t>
  </si>
  <si>
    <t>RG22</t>
  </si>
  <si>
    <t>RG23</t>
  </si>
  <si>
    <t>RG24</t>
  </si>
  <si>
    <t>RG25</t>
  </si>
  <si>
    <t>RG26</t>
  </si>
  <si>
    <t>RG27</t>
  </si>
  <si>
    <t>RG28</t>
  </si>
  <si>
    <t>RG29</t>
  </si>
  <si>
    <t>RG30</t>
  </si>
  <si>
    <t>Office</t>
  </si>
  <si>
    <t>Clothing</t>
  </si>
  <si>
    <t>Home</t>
  </si>
  <si>
    <t>Electronics</t>
  </si>
  <si>
    <t>Notebook</t>
  </si>
  <si>
    <t>Office Chair</t>
  </si>
  <si>
    <t>Desk Organizer</t>
  </si>
  <si>
    <t>Jacket</t>
  </si>
  <si>
    <t>Table Lamp</t>
  </si>
  <si>
    <t>Backpack</t>
  </si>
  <si>
    <t>Laptop</t>
  </si>
  <si>
    <t>Keyboard</t>
  </si>
  <si>
    <t>Coffee Maker</t>
  </si>
  <si>
    <t>T-Shirt</t>
  </si>
  <si>
    <t>Headphones</t>
  </si>
  <si>
    <t>Desk</t>
  </si>
  <si>
    <t>Formal Shirt</t>
  </si>
  <si>
    <t>Monitor</t>
  </si>
  <si>
    <t>Wireless Mouse</t>
  </si>
  <si>
    <t>Jeans</t>
  </si>
  <si>
    <t>Water Bottle</t>
  </si>
  <si>
    <t>Sneakers</t>
  </si>
  <si>
    <t>Bedsheet</t>
  </si>
  <si>
    <t>PD01</t>
  </si>
  <si>
    <t>PD02</t>
  </si>
  <si>
    <t>PD03</t>
  </si>
  <si>
    <t>PD04</t>
  </si>
  <si>
    <t>PD05</t>
  </si>
  <si>
    <t>PD06</t>
  </si>
  <si>
    <t>PD07</t>
  </si>
  <si>
    <t>PD08</t>
  </si>
  <si>
    <t>PD09</t>
  </si>
  <si>
    <t>PD10</t>
  </si>
  <si>
    <t>PD11</t>
  </si>
  <si>
    <t>PD12</t>
  </si>
  <si>
    <t>PD13</t>
  </si>
  <si>
    <t>PD14</t>
  </si>
  <si>
    <t>PD15</t>
  </si>
  <si>
    <t>PD16</t>
  </si>
  <si>
    <t>PD17</t>
  </si>
  <si>
    <t>PD18</t>
  </si>
  <si>
    <t>PD19</t>
  </si>
  <si>
    <t>PD20</t>
  </si>
  <si>
    <t>PD21</t>
  </si>
  <si>
    <t>PD22</t>
  </si>
  <si>
    <t>PD23</t>
  </si>
  <si>
    <t>PD24</t>
  </si>
  <si>
    <t>PD25</t>
  </si>
  <si>
    <t>PD26</t>
  </si>
  <si>
    <t>PD27</t>
  </si>
  <si>
    <t>PD28</t>
  </si>
  <si>
    <t>PD29</t>
  </si>
  <si>
    <t>PD30</t>
  </si>
  <si>
    <t>Month</t>
  </si>
  <si>
    <t>ORD1097</t>
  </si>
  <si>
    <t>WeekDay</t>
  </si>
  <si>
    <t>Sum of SalesAmount</t>
  </si>
  <si>
    <t>Row Labels</t>
  </si>
  <si>
    <t>January</t>
  </si>
  <si>
    <t>February</t>
  </si>
  <si>
    <t>March</t>
  </si>
  <si>
    <t>Grand Total</t>
  </si>
  <si>
    <t>Sunday</t>
  </si>
  <si>
    <t>Wednesday</t>
  </si>
  <si>
    <t>Thursday</t>
  </si>
  <si>
    <t>Friday</t>
  </si>
  <si>
    <t>Saturday</t>
  </si>
  <si>
    <t>Monday</t>
  </si>
  <si>
    <t>Tuesday</t>
  </si>
  <si>
    <t>Count of ProductID</t>
  </si>
  <si>
    <t>Sum of Quantity</t>
  </si>
  <si>
    <t>Count of OrderID</t>
  </si>
  <si>
    <t>Count of Sales</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</si>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</sst>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2" borderId="0" xfId="0" applyFill="1"/>
    <xf numFmtId="0" fontId="0" fillId="0" borderId="0" xfId="0" applyNumberFormat="1"/>
  </cellXfs>
  <cellStyles count="1">
    <cellStyle name="Normal" xfId="0" builtinId="0"/>
  </cellStyles>
  <dxfs count="2">
    <dxf>
      <numFmt numFmtId="19" formatCode="dd/mm/yyyy"/>
    </dxf>
    <dxf>
      <numFmt numFmtId="19" formatCode="dd/mm/yyyy"/>
    </dxf>
  </dxfs>
  <tableStyles count="0" defaultTableStyle="TableStyleMedium2" defaultPivotStyle="PivotStyleLight16"/>
  <colors>
    <mruColors>
      <color rgb="FF083E1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connections" Target="connections.xml"/><Relationship Id="rId30"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[TechPrepweek4.xlsx]Sheet6!PivotTable5</c:name>
    <c:fmtId val="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Top Five Product by Sales</a:t>
            </a:r>
          </a:p>
        </c:rich>
      </c:tx>
      <c:layout>
        <c:manualLayout>
          <c:xMode val="edge"/>
          <c:yMode val="edge"/>
          <c:x val="0.16129347772547195"/>
          <c:y val="2.7777777777777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Sheet6!$L$3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145-4D9A-BBD7-63E7629004F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145-4D9A-BBD7-63E7629004F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145-4D9A-BBD7-63E7629004F2}"/>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145-4D9A-BBD7-63E7629004F2}"/>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9145-4D9A-BBD7-63E7629004F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Sheet6!$K$4:$K$9</c:f>
              <c:strCache>
                <c:ptCount val="5"/>
                <c:pt idx="0">
                  <c:v>Desk</c:v>
                </c:pt>
                <c:pt idx="1">
                  <c:v>Jacket</c:v>
                </c:pt>
                <c:pt idx="2">
                  <c:v>Jeans</c:v>
                </c:pt>
                <c:pt idx="3">
                  <c:v>Laptop</c:v>
                </c:pt>
                <c:pt idx="4">
                  <c:v>Office Chair</c:v>
                </c:pt>
              </c:strCache>
            </c:strRef>
          </c:cat>
          <c:val>
            <c:numRef>
              <c:f>Sheet6!$L$4:$L$9</c:f>
              <c:numCache>
                <c:formatCode>General</c:formatCode>
                <c:ptCount val="5"/>
                <c:pt idx="0">
                  <c:v>264000</c:v>
                </c:pt>
                <c:pt idx="1">
                  <c:v>131200</c:v>
                </c:pt>
                <c:pt idx="2">
                  <c:v>48600</c:v>
                </c:pt>
                <c:pt idx="3">
                  <c:v>220000</c:v>
                </c:pt>
                <c:pt idx="4">
                  <c:v>238000</c:v>
                </c:pt>
              </c:numCache>
            </c:numRef>
          </c:val>
          <c:extLst>
            <c:ext xmlns:c16="http://schemas.microsoft.com/office/drawing/2014/chart" uri="{C3380CC4-5D6E-409C-BE32-E72D297353CC}">
              <c16:uniqueId val="{00000000-AFD5-4EA4-B9C2-D00C21C09E1E}"/>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[TechPrepweek4.xlsx]Sheet8!PivotTable6</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Total Sales by Product</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Sheet8!$A$4:$A$23</c:f>
              <c:strCache>
                <c:ptCount val="19"/>
                <c:pt idx="0">
                  <c:v>Backpack</c:v>
                </c:pt>
                <c:pt idx="1">
                  <c:v>Bedsheet</c:v>
                </c:pt>
                <c:pt idx="2">
                  <c:v>Coffee Maker</c:v>
                </c:pt>
                <c:pt idx="3">
                  <c:v>Desk</c:v>
                </c:pt>
                <c:pt idx="4">
                  <c:v>Desk Organizer</c:v>
                </c:pt>
                <c:pt idx="5">
                  <c:v>Formal Shirt</c:v>
                </c:pt>
                <c:pt idx="6">
                  <c:v>Headphones</c:v>
                </c:pt>
                <c:pt idx="7">
                  <c:v>Jacket</c:v>
                </c:pt>
                <c:pt idx="8">
                  <c:v>Jeans</c:v>
                </c:pt>
                <c:pt idx="9">
                  <c:v>Keyboard</c:v>
                </c:pt>
                <c:pt idx="10">
                  <c:v>Laptop</c:v>
                </c:pt>
                <c:pt idx="11">
                  <c:v>Monitor</c:v>
                </c:pt>
                <c:pt idx="12">
                  <c:v>Notebook</c:v>
                </c:pt>
                <c:pt idx="13">
                  <c:v>Office Chair</c:v>
                </c:pt>
                <c:pt idx="14">
                  <c:v>Sneakers</c:v>
                </c:pt>
                <c:pt idx="15">
                  <c:v>Table Lamp</c:v>
                </c:pt>
                <c:pt idx="16">
                  <c:v>T-Shirt</c:v>
                </c:pt>
                <c:pt idx="17">
                  <c:v>Water Bottle</c:v>
                </c:pt>
                <c:pt idx="18">
                  <c:v>Wireless Mouse</c:v>
                </c:pt>
              </c:strCache>
            </c:strRef>
          </c:cat>
          <c:val>
            <c:numRef>
              <c:f>Sheet8!$B$4:$B$23</c:f>
              <c:numCache>
                <c:formatCode>General</c:formatCode>
                <c:ptCount val="19"/>
                <c:pt idx="0">
                  <c:v>13200</c:v>
                </c:pt>
                <c:pt idx="1">
                  <c:v>6000</c:v>
                </c:pt>
                <c:pt idx="2">
                  <c:v>27000</c:v>
                </c:pt>
                <c:pt idx="3">
                  <c:v>264000</c:v>
                </c:pt>
                <c:pt idx="4">
                  <c:v>9100</c:v>
                </c:pt>
                <c:pt idx="5">
                  <c:v>3200</c:v>
                </c:pt>
                <c:pt idx="6">
                  <c:v>37800</c:v>
                </c:pt>
                <c:pt idx="7">
                  <c:v>131200</c:v>
                </c:pt>
                <c:pt idx="8">
                  <c:v>48600</c:v>
                </c:pt>
                <c:pt idx="9">
                  <c:v>10800</c:v>
                </c:pt>
                <c:pt idx="10">
                  <c:v>220000</c:v>
                </c:pt>
                <c:pt idx="11">
                  <c:v>42000</c:v>
                </c:pt>
                <c:pt idx="12">
                  <c:v>900</c:v>
                </c:pt>
                <c:pt idx="13">
                  <c:v>238000</c:v>
                </c:pt>
                <c:pt idx="14">
                  <c:v>2800</c:v>
                </c:pt>
                <c:pt idx="15">
                  <c:v>7500</c:v>
                </c:pt>
                <c:pt idx="16">
                  <c:v>1950</c:v>
                </c:pt>
                <c:pt idx="17">
                  <c:v>1400</c:v>
                </c:pt>
                <c:pt idx="18">
                  <c:v>2800</c:v>
                </c:pt>
              </c:numCache>
            </c:numRef>
          </c:val>
          <c:extLst>
            <c:ext xmlns:c16="http://schemas.microsoft.com/office/drawing/2014/chart" uri="{C3380CC4-5D6E-409C-BE32-E72D297353CC}">
              <c16:uniqueId val="{00000000-7225-42D8-90CA-8BB9AB5B3F57}"/>
            </c:ext>
          </c:extLst>
        </c:ser>
        <c:dLbls>
          <c:showLegendKey val="0"/>
          <c:showVal val="0"/>
          <c:showCatName val="0"/>
          <c:showSerName val="0"/>
          <c:showPercent val="0"/>
          <c:showBubbleSize val="0"/>
        </c:dLbls>
        <c:gapWidth val="199"/>
        <c:axId val="477248815"/>
        <c:axId val="459288511"/>
      </c:barChart>
      <c:catAx>
        <c:axId val="47724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59288511"/>
        <c:crosses val="autoZero"/>
        <c:auto val="1"/>
        <c:lblAlgn val="ctr"/>
        <c:lblOffset val="100"/>
        <c:noMultiLvlLbl val="0"/>
      </c:catAx>
      <c:valAx>
        <c:axId val="45928851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24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[TechPrepweek4.xlsx]Sheet8!PivotTable1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 Trend and weekday Wise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Sheet8!$K$6</c:f>
              <c:strCache>
                <c:ptCount val="1"/>
                <c:pt idx="0">
                  <c:v>Count of Sales</c:v>
                </c:pt>
              </c:strCache>
            </c:strRef>
          </c:tx>
          <c:spPr>
            <a:solidFill>
              <a:schemeClr val="accent2"/>
            </a:solidFill>
            <a:ln>
              <a:noFill/>
            </a:ln>
            <a:effectLst/>
          </c:spPr>
          <c:invertIfNegative val="0"/>
          <c:cat>
            <c:multiLvlStrRef>
              <c:f>Sheet8!$I$7:$I$26</c:f>
              <c:multiLvlStrCache>
                <c:ptCount val="16"/>
                <c:lvl>
                  <c:pt idx="0">
                    <c:v>Monday</c:v>
                  </c:pt>
                  <c:pt idx="1">
                    <c:v>Saturday</c:v>
                  </c:pt>
                  <c:pt idx="2">
                    <c:v>Sunday</c:v>
                  </c:pt>
                  <c:pt idx="3">
                    <c:v>Thursday</c:v>
                  </c:pt>
                  <c:pt idx="4">
                    <c:v>Tuesday</c:v>
                  </c:pt>
                  <c:pt idx="5">
                    <c:v>Wednesday</c:v>
                  </c:pt>
                  <c:pt idx="6">
                    <c:v>Friday</c:v>
                  </c:pt>
                  <c:pt idx="7">
                    <c:v>Saturday</c:v>
                  </c:pt>
                  <c:pt idx="8">
                    <c:v>Sunday</c:v>
                  </c:pt>
                  <c:pt idx="9">
                    <c:v>Thursday</c:v>
                  </c:pt>
                  <c:pt idx="10">
                    <c:v>Wednesday</c:v>
                  </c:pt>
                  <c:pt idx="11">
                    <c:v>Friday</c:v>
                  </c:pt>
                  <c:pt idx="12">
                    <c:v>Monday</c:v>
                  </c:pt>
                  <c:pt idx="13">
                    <c:v>Saturday</c:v>
                  </c:pt>
                  <c:pt idx="14">
                    <c:v>Tuesday</c:v>
                  </c:pt>
                  <c:pt idx="15">
                    <c:v>Wednesday</c:v>
                  </c:pt>
                </c:lvl>
                <c:lvl>
                  <c:pt idx="0">
                    <c:v>February</c:v>
                  </c:pt>
                  <c:pt idx="6">
                    <c:v>January</c:v>
                  </c:pt>
                  <c:pt idx="11">
                    <c:v>March</c:v>
                  </c:pt>
                </c:lvl>
              </c:multiLvlStrCache>
            </c:multiLvlStrRef>
          </c:cat>
          <c:val>
            <c:numRef>
              <c:f>Sheet8!$K$7:$K$26</c:f>
              <c:numCache>
                <c:formatCode>General</c:formatCode>
                <c:ptCount val="16"/>
                <c:pt idx="0">
                  <c:v>1</c:v>
                </c:pt>
                <c:pt idx="1">
                  <c:v>3</c:v>
                </c:pt>
                <c:pt idx="2">
                  <c:v>2</c:v>
                </c:pt>
                <c:pt idx="3">
                  <c:v>2</c:v>
                </c:pt>
                <c:pt idx="4">
                  <c:v>2</c:v>
                </c:pt>
                <c:pt idx="5">
                  <c:v>2</c:v>
                </c:pt>
                <c:pt idx="6">
                  <c:v>2</c:v>
                </c:pt>
                <c:pt idx="7">
                  <c:v>1</c:v>
                </c:pt>
                <c:pt idx="8">
                  <c:v>1</c:v>
                </c:pt>
                <c:pt idx="9">
                  <c:v>1</c:v>
                </c:pt>
                <c:pt idx="10">
                  <c:v>1</c:v>
                </c:pt>
                <c:pt idx="11">
                  <c:v>1</c:v>
                </c:pt>
                <c:pt idx="12">
                  <c:v>5</c:v>
                </c:pt>
                <c:pt idx="13">
                  <c:v>3</c:v>
                </c:pt>
                <c:pt idx="14">
                  <c:v>2</c:v>
                </c:pt>
                <c:pt idx="15">
                  <c:v>1</c:v>
                </c:pt>
              </c:numCache>
            </c:numRef>
          </c:val>
          <c:extLst>
            <c:ext xmlns:c16="http://schemas.microsoft.com/office/drawing/2014/chart" uri="{C3380CC4-5D6E-409C-BE32-E72D297353CC}">
              <c16:uniqueId val="{00000001-571A-4A8C-A636-C8E95AD748E5}"/>
            </c:ext>
          </c:extLst>
        </c:ser>
        <c:dLbls>
          <c:showLegendKey val="0"/>
          <c:showVal val="0"/>
          <c:showCatName val="0"/>
          <c:showSerName val="0"/>
          <c:showPercent val="0"/>
          <c:showBubbleSize val="0"/>
        </c:dLbls>
        <c:gapWidth val="219"/>
        <c:axId val="861175584"/>
        <c:axId val="678290272"/>
      </c:barChart>
      <c:lineChart>
        <c:grouping val="standard"/>
        <c:varyColors val="0"/>
        <c:ser>
          <c:idx val="0"/>
          <c:order val="0"/>
          <c:tx>
            <c:strRef>
              <c:f>Sheet8!$J$6</c:f>
              <c:strCache>
                <c:ptCount val="1"/>
                <c:pt idx="0">
                  <c:v>Total Sales</c:v>
                </c:pt>
              </c:strCache>
            </c:strRef>
          </c:tx>
          <c:spPr>
            <a:ln w="28575" cap="rnd">
              <a:solidFill>
                <a:schemeClr val="accent1"/>
              </a:solidFill>
              <a:round/>
            </a:ln>
            <a:effectLst/>
          </c:spPr>
          <c:marker>
            <c:symbol val="none"/>
          </c:marker>
          <c:cat>
            <c:multiLvlStrRef>
              <c:f>Sheet8!$I$7:$I$26</c:f>
              <c:multiLvlStrCache>
                <c:ptCount val="16"/>
                <c:lvl>
                  <c:pt idx="0">
                    <c:v>Monday</c:v>
                  </c:pt>
                  <c:pt idx="1">
                    <c:v>Saturday</c:v>
                  </c:pt>
                  <c:pt idx="2">
                    <c:v>Sunday</c:v>
                  </c:pt>
                  <c:pt idx="3">
                    <c:v>Thursday</c:v>
                  </c:pt>
                  <c:pt idx="4">
                    <c:v>Tuesday</c:v>
                  </c:pt>
                  <c:pt idx="5">
                    <c:v>Wednesday</c:v>
                  </c:pt>
                  <c:pt idx="6">
                    <c:v>Friday</c:v>
                  </c:pt>
                  <c:pt idx="7">
                    <c:v>Saturday</c:v>
                  </c:pt>
                  <c:pt idx="8">
                    <c:v>Sunday</c:v>
                  </c:pt>
                  <c:pt idx="9">
                    <c:v>Thursday</c:v>
                  </c:pt>
                  <c:pt idx="10">
                    <c:v>Wednesday</c:v>
                  </c:pt>
                  <c:pt idx="11">
                    <c:v>Friday</c:v>
                  </c:pt>
                  <c:pt idx="12">
                    <c:v>Monday</c:v>
                  </c:pt>
                  <c:pt idx="13">
                    <c:v>Saturday</c:v>
                  </c:pt>
                  <c:pt idx="14">
                    <c:v>Tuesday</c:v>
                  </c:pt>
                  <c:pt idx="15">
                    <c:v>Wednesday</c:v>
                  </c:pt>
                </c:lvl>
                <c:lvl>
                  <c:pt idx="0">
                    <c:v>February</c:v>
                  </c:pt>
                  <c:pt idx="6">
                    <c:v>January</c:v>
                  </c:pt>
                  <c:pt idx="11">
                    <c:v>March</c:v>
                  </c:pt>
                </c:lvl>
              </c:multiLvlStrCache>
            </c:multiLvlStrRef>
          </c:cat>
          <c:val>
            <c:numRef>
              <c:f>Sheet8!$J$7:$J$26</c:f>
              <c:numCache>
                <c:formatCode>General</c:formatCode>
                <c:ptCount val="16"/>
                <c:pt idx="0">
                  <c:v>3200</c:v>
                </c:pt>
                <c:pt idx="1">
                  <c:v>127950</c:v>
                </c:pt>
                <c:pt idx="2">
                  <c:v>138200</c:v>
                </c:pt>
                <c:pt idx="3">
                  <c:v>62000</c:v>
                </c:pt>
                <c:pt idx="4">
                  <c:v>236200</c:v>
                </c:pt>
                <c:pt idx="5">
                  <c:v>16200</c:v>
                </c:pt>
                <c:pt idx="6">
                  <c:v>17900</c:v>
                </c:pt>
                <c:pt idx="7">
                  <c:v>54400</c:v>
                </c:pt>
                <c:pt idx="8">
                  <c:v>7500</c:v>
                </c:pt>
                <c:pt idx="9">
                  <c:v>102000</c:v>
                </c:pt>
                <c:pt idx="10">
                  <c:v>900</c:v>
                </c:pt>
                <c:pt idx="11">
                  <c:v>6000</c:v>
                </c:pt>
                <c:pt idx="12">
                  <c:v>209200</c:v>
                </c:pt>
                <c:pt idx="13">
                  <c:v>40600</c:v>
                </c:pt>
                <c:pt idx="14">
                  <c:v>43200</c:v>
                </c:pt>
                <c:pt idx="15">
                  <c:v>2800</c:v>
                </c:pt>
              </c:numCache>
            </c:numRef>
          </c:val>
          <c:smooth val="0"/>
          <c:extLst>
            <c:ext xmlns:c16="http://schemas.microsoft.com/office/drawing/2014/chart" uri="{C3380CC4-5D6E-409C-BE32-E72D297353CC}">
              <c16:uniqueId val="{00000000-571A-4A8C-A636-C8E95AD748E5}"/>
            </c:ext>
          </c:extLst>
        </c:ser>
        <c:dLbls>
          <c:showLegendKey val="0"/>
          <c:showVal val="0"/>
          <c:showCatName val="0"/>
          <c:showSerName val="0"/>
          <c:showPercent val="0"/>
          <c:showBubbleSize val="0"/>
        </c:dLbls>
        <c:marker val="1"/>
        <c:smooth val="0"/>
        <c:axId val="867723024"/>
        <c:axId val="837083552"/>
      </c:lineChart>
      <c:catAx>
        <c:axId val="86772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083552"/>
        <c:crosses val="autoZero"/>
        <c:auto val="1"/>
        <c:lblAlgn val="ctr"/>
        <c:lblOffset val="100"/>
        <c:noMultiLvlLbl val="0"/>
      </c:catAx>
      <c:valAx>
        <c:axId val="837083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723024"/>
        <c:crosses val="autoZero"/>
        <c:crossBetween val="between"/>
      </c:valAx>
      <c:valAx>
        <c:axId val="6782902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175584"/>
        <c:crosses val="max"/>
        <c:crossBetween val="between"/>
      </c:valAx>
      <c:catAx>
        <c:axId val="861175584"/>
        <c:scaling>
          <c:orientation val="minMax"/>
        </c:scaling>
        <c:delete val="1"/>
        <c:axPos val="b"/>
        <c:numFmt formatCode="General" sourceLinked="1"/>
        <c:majorTickMark val="out"/>
        <c:minorTickMark val="none"/>
        <c:tickLblPos val="nextTo"/>
        <c:crossAx val="678290272"/>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[TechPrepweek4.xlsx]Sheet8!PivotTable6</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b="1">
                <a:solidFill>
                  <a:sysClr val="windowText" lastClr="000000"/>
                </a:solidFill>
              </a:rPr>
              <a:t> Total Sales by Product</a:t>
            </a:r>
          </a:p>
        </c:rich>
      </c:tx>
      <c:layout>
        <c:manualLayout>
          <c:xMode val="edge"/>
          <c:yMode val="edge"/>
          <c:x val="0.20013708315530326"/>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Sheet8!$A$4:$A$23</c:f>
              <c:strCache>
                <c:ptCount val="19"/>
                <c:pt idx="0">
                  <c:v>Backpack</c:v>
                </c:pt>
                <c:pt idx="1">
                  <c:v>Bedsheet</c:v>
                </c:pt>
                <c:pt idx="2">
                  <c:v>Coffee Maker</c:v>
                </c:pt>
                <c:pt idx="3">
                  <c:v>Desk</c:v>
                </c:pt>
                <c:pt idx="4">
                  <c:v>Desk Organizer</c:v>
                </c:pt>
                <c:pt idx="5">
                  <c:v>Formal Shirt</c:v>
                </c:pt>
                <c:pt idx="6">
                  <c:v>Headphones</c:v>
                </c:pt>
                <c:pt idx="7">
                  <c:v>Jacket</c:v>
                </c:pt>
                <c:pt idx="8">
                  <c:v>Jeans</c:v>
                </c:pt>
                <c:pt idx="9">
                  <c:v>Keyboard</c:v>
                </c:pt>
                <c:pt idx="10">
                  <c:v>Laptop</c:v>
                </c:pt>
                <c:pt idx="11">
                  <c:v>Monitor</c:v>
                </c:pt>
                <c:pt idx="12">
                  <c:v>Notebook</c:v>
                </c:pt>
                <c:pt idx="13">
                  <c:v>Office Chair</c:v>
                </c:pt>
                <c:pt idx="14">
                  <c:v>Sneakers</c:v>
                </c:pt>
                <c:pt idx="15">
                  <c:v>Table Lamp</c:v>
                </c:pt>
                <c:pt idx="16">
                  <c:v>T-Shirt</c:v>
                </c:pt>
                <c:pt idx="17">
                  <c:v>Water Bottle</c:v>
                </c:pt>
                <c:pt idx="18">
                  <c:v>Wireless Mouse</c:v>
                </c:pt>
              </c:strCache>
            </c:strRef>
          </c:cat>
          <c:val>
            <c:numRef>
              <c:f>Sheet8!$B$4:$B$23</c:f>
              <c:numCache>
                <c:formatCode>General</c:formatCode>
                <c:ptCount val="19"/>
                <c:pt idx="0">
                  <c:v>13200</c:v>
                </c:pt>
                <c:pt idx="1">
                  <c:v>6000</c:v>
                </c:pt>
                <c:pt idx="2">
                  <c:v>27000</c:v>
                </c:pt>
                <c:pt idx="3">
                  <c:v>264000</c:v>
                </c:pt>
                <c:pt idx="4">
                  <c:v>9100</c:v>
                </c:pt>
                <c:pt idx="5">
                  <c:v>3200</c:v>
                </c:pt>
                <c:pt idx="6">
                  <c:v>37800</c:v>
                </c:pt>
                <c:pt idx="7">
                  <c:v>131200</c:v>
                </c:pt>
                <c:pt idx="8">
                  <c:v>48600</c:v>
                </c:pt>
                <c:pt idx="9">
                  <c:v>10800</c:v>
                </c:pt>
                <c:pt idx="10">
                  <c:v>220000</c:v>
                </c:pt>
                <c:pt idx="11">
                  <c:v>42000</c:v>
                </c:pt>
                <c:pt idx="12">
                  <c:v>900</c:v>
                </c:pt>
                <c:pt idx="13">
                  <c:v>238000</c:v>
                </c:pt>
                <c:pt idx="14">
                  <c:v>2800</c:v>
                </c:pt>
                <c:pt idx="15">
                  <c:v>7500</c:v>
                </c:pt>
                <c:pt idx="16">
                  <c:v>1950</c:v>
                </c:pt>
                <c:pt idx="17">
                  <c:v>1400</c:v>
                </c:pt>
                <c:pt idx="18">
                  <c:v>2800</c:v>
                </c:pt>
              </c:numCache>
            </c:numRef>
          </c:val>
          <c:extLst>
            <c:ext xmlns:c16="http://schemas.microsoft.com/office/drawing/2014/chart" uri="{C3380CC4-5D6E-409C-BE32-E72D297353CC}">
              <c16:uniqueId val="{00000000-9497-484B-A8DD-5FFB30325173}"/>
            </c:ext>
          </c:extLst>
        </c:ser>
        <c:dLbls>
          <c:showLegendKey val="0"/>
          <c:showVal val="0"/>
          <c:showCatName val="0"/>
          <c:showSerName val="0"/>
          <c:showPercent val="0"/>
          <c:showBubbleSize val="0"/>
        </c:dLbls>
        <c:gapWidth val="100"/>
        <c:overlap val="-24"/>
        <c:axId val="477248815"/>
        <c:axId val="459288511"/>
      </c:barChart>
      <c:catAx>
        <c:axId val="47724881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59288511"/>
        <c:crosses val="autoZero"/>
        <c:auto val="1"/>
        <c:lblAlgn val="ctr"/>
        <c:lblOffset val="100"/>
        <c:noMultiLvlLbl val="0"/>
      </c:catAx>
      <c:valAx>
        <c:axId val="45928851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7724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[TechPrepweek4.xlsx]Sheet6!PivotTable5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ysClr val="windowText" lastClr="000000"/>
                </a:solidFill>
              </a:rPr>
              <a:t>Total</a:t>
            </a:r>
            <a:r>
              <a:rPr lang="en-IN" sz="1600" b="1" baseline="0">
                <a:solidFill>
                  <a:sysClr val="windowText" lastClr="000000"/>
                </a:solidFill>
              </a:rPr>
              <a:t> Sales by Top Five Products</a:t>
            </a:r>
            <a:endParaRPr lang="en-IN" sz="1600" b="1">
              <a:solidFill>
                <a:sysClr val="windowText" lastClr="000000"/>
              </a:solidFill>
            </a:endParaRPr>
          </a:p>
        </c:rich>
      </c:tx>
      <c:layout>
        <c:manualLayout>
          <c:xMode val="edge"/>
          <c:yMode val="edge"/>
          <c:x val="9.9298922008390314E-2"/>
          <c:y val="0.1215666492883420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manualLayout>
          <c:layoutTarget val="inner"/>
          <c:xMode val="edge"/>
          <c:yMode val="edge"/>
          <c:x val="4.9151027703306524E-2"/>
          <c:y val="0.31719160104986877"/>
          <c:w val="0.61230218206638376"/>
          <c:h val="0.63441309419655878"/>
        </c:manualLayout>
      </c:layout>
      <c:pieChart>
        <c:varyColors val="1"/>
        <c:ser>
          <c:idx val="0"/>
          <c:order val="0"/>
          <c:tx>
            <c:strRef>
              <c:f>Sheet6!$L$3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2A-470F-9A28-BF91047D8B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2A-470F-9A28-BF91047D8B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2A-470F-9A28-BF91047D8BC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2A-470F-9A28-BF91047D8BC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62A-470F-9A28-BF91047D8B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Sheet6!$K$4:$K$9</c:f>
              <c:strCache>
                <c:ptCount val="5"/>
                <c:pt idx="0">
                  <c:v>Desk</c:v>
                </c:pt>
                <c:pt idx="1">
                  <c:v>Jacket</c:v>
                </c:pt>
                <c:pt idx="2">
                  <c:v>Jeans</c:v>
                </c:pt>
                <c:pt idx="3">
                  <c:v>Laptop</c:v>
                </c:pt>
                <c:pt idx="4">
                  <c:v>Office Chair</c:v>
                </c:pt>
              </c:strCache>
            </c:strRef>
          </c:cat>
          <c:val>
            <c:numRef>
              <c:f>Sheet6!$L$4:$L$9</c:f>
              <c:numCache>
                <c:formatCode>General</c:formatCode>
                <c:ptCount val="5"/>
                <c:pt idx="0">
                  <c:v>264000</c:v>
                </c:pt>
                <c:pt idx="1">
                  <c:v>131200</c:v>
                </c:pt>
                <c:pt idx="2">
                  <c:v>48600</c:v>
                </c:pt>
                <c:pt idx="3">
                  <c:v>220000</c:v>
                </c:pt>
                <c:pt idx="4">
                  <c:v>238000</c:v>
                </c:pt>
              </c:numCache>
            </c:numRef>
          </c:val>
          <c:extLst>
            <c:ext xmlns:c16="http://schemas.microsoft.com/office/drawing/2014/chart" uri="{C3380CC4-5D6E-409C-BE32-E72D297353CC}">
              <c16:uniqueId val="{0000000A-B62A-470F-9A28-BF91047D8BCA}"/>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[TechPrepweek4.xlsx]Sheet3!PivotTable5</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400"/>
              <a:t>Total Sale by Category and Region</a:t>
            </a:r>
          </a:p>
        </c:rich>
      </c:tx>
      <c:layout>
        <c:manualLayout>
          <c:xMode val="edge"/>
          <c:yMode val="edge"/>
          <c:x val="0.11475065616797901"/>
          <c:y val="4.166666666666666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multiLvlStrRef>
              <c:f>Sheet3!$A$4:$A$12</c:f>
              <c:multiLvlStrCache>
                <c:ptCount val="4"/>
                <c:lvl>
                  <c:pt idx="0">
                    <c:v>East</c:v>
                  </c:pt>
                  <c:pt idx="1">
                    <c:v>East</c:v>
                  </c:pt>
                  <c:pt idx="2">
                    <c:v>East</c:v>
                  </c:pt>
                  <c:pt idx="3">
                    <c:v>East</c:v>
                  </c:pt>
                </c:lvl>
                <c:lvl>
                  <c:pt idx="0">
                    <c:v>Clothing</c:v>
                  </c:pt>
                  <c:pt idx="1">
                    <c:v>Electronics</c:v>
                  </c:pt>
                  <c:pt idx="2">
                    <c:v>Home</c:v>
                  </c:pt>
                  <c:pt idx="3">
                    <c:v>Office</c:v>
                  </c:pt>
                </c:lvl>
              </c:multiLvlStrCache>
            </c:multiLvlStrRef>
          </c:cat>
          <c:val>
            <c:numRef>
              <c:f>Sheet3!$B$4:$B$12</c:f>
              <c:numCache>
                <c:formatCode>General</c:formatCode>
                <c:ptCount val="4"/>
                <c:pt idx="0">
                  <c:v>187750</c:v>
                </c:pt>
                <c:pt idx="1">
                  <c:v>313400</c:v>
                </c:pt>
                <c:pt idx="2">
                  <c:v>55100</c:v>
                </c:pt>
                <c:pt idx="3">
                  <c:v>512000</c:v>
                </c:pt>
              </c:numCache>
            </c:numRef>
          </c:val>
          <c:extLst>
            <c:ext xmlns:c16="http://schemas.microsoft.com/office/drawing/2014/chart" uri="{C3380CC4-5D6E-409C-BE32-E72D297353CC}">
              <c16:uniqueId val="{00000000-14C2-4B53-8648-6FD691DC4935}"/>
            </c:ext>
          </c:extLst>
        </c:ser>
        <c:dLbls>
          <c:showLegendKey val="0"/>
          <c:showVal val="0"/>
          <c:showCatName val="0"/>
          <c:showSerName val="0"/>
          <c:showPercent val="0"/>
          <c:showBubbleSize val="0"/>
        </c:dLbls>
        <c:gapWidth val="100"/>
        <c:overlap val="-24"/>
        <c:axId val="678451375"/>
        <c:axId val="101325727"/>
      </c:barChart>
      <c:catAx>
        <c:axId val="67845137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1325727"/>
        <c:crosses val="autoZero"/>
        <c:auto val="1"/>
        <c:lblAlgn val="ctr"/>
        <c:lblOffset val="100"/>
        <c:noMultiLvlLbl val="0"/>
      </c:catAx>
      <c:valAx>
        <c:axId val="10132572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8451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[TechPrepweek4.xlsx]Sheet8!PivotTable1</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rgbClr val="083E15"/>
                </a:solidFill>
              </a:rPr>
              <a:t>Monthly</a:t>
            </a:r>
            <a:r>
              <a:rPr lang="en-IN" sz="1400" b="1" baseline="0">
                <a:solidFill>
                  <a:srgbClr val="083E15"/>
                </a:solidFill>
              </a:rPr>
              <a:t> Sale Trend and weekday Wise Performance</a:t>
            </a:r>
            <a:endParaRPr lang="en-IN" sz="1400" b="1">
              <a:solidFill>
                <a:srgbClr val="083E1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Sheet8!$K$6</c:f>
              <c:strCache>
                <c:ptCount val="1"/>
                <c:pt idx="0">
                  <c:v>Count of Sales</c:v>
                </c:pt>
              </c:strCache>
            </c:strRef>
          </c:tx>
          <c:spPr>
            <a:solidFill>
              <a:schemeClr val="accent2"/>
            </a:solidFill>
            <a:ln>
              <a:noFill/>
            </a:ln>
            <a:effectLst/>
          </c:spPr>
          <c:invertIfNegative val="0"/>
          <c:cat>
            <c:multiLvlStrRef>
              <c:f>Sheet8!$I$7:$I$26</c:f>
              <c:multiLvlStrCache>
                <c:ptCount val="16"/>
                <c:lvl>
                  <c:pt idx="0">
                    <c:v>Monday</c:v>
                  </c:pt>
                  <c:pt idx="1">
                    <c:v>Saturday</c:v>
                  </c:pt>
                  <c:pt idx="2">
                    <c:v>Sunday</c:v>
                  </c:pt>
                  <c:pt idx="3">
                    <c:v>Thursday</c:v>
                  </c:pt>
                  <c:pt idx="4">
                    <c:v>Tuesday</c:v>
                  </c:pt>
                  <c:pt idx="5">
                    <c:v>Wednesday</c:v>
                  </c:pt>
                  <c:pt idx="6">
                    <c:v>Friday</c:v>
                  </c:pt>
                  <c:pt idx="7">
                    <c:v>Saturday</c:v>
                  </c:pt>
                  <c:pt idx="8">
                    <c:v>Sunday</c:v>
                  </c:pt>
                  <c:pt idx="9">
                    <c:v>Thursday</c:v>
                  </c:pt>
                  <c:pt idx="10">
                    <c:v>Wednesday</c:v>
                  </c:pt>
                  <c:pt idx="11">
                    <c:v>Friday</c:v>
                  </c:pt>
                  <c:pt idx="12">
                    <c:v>Monday</c:v>
                  </c:pt>
                  <c:pt idx="13">
                    <c:v>Saturday</c:v>
                  </c:pt>
                  <c:pt idx="14">
                    <c:v>Tuesday</c:v>
                  </c:pt>
                  <c:pt idx="15">
                    <c:v>Wednesday</c:v>
                  </c:pt>
                </c:lvl>
                <c:lvl>
                  <c:pt idx="0">
                    <c:v>February</c:v>
                  </c:pt>
                  <c:pt idx="6">
                    <c:v>January</c:v>
                  </c:pt>
                  <c:pt idx="11">
                    <c:v>March</c:v>
                  </c:pt>
                </c:lvl>
              </c:multiLvlStrCache>
            </c:multiLvlStrRef>
          </c:cat>
          <c:val>
            <c:numRef>
              <c:f>Sheet8!$K$7:$K$26</c:f>
              <c:numCache>
                <c:formatCode>General</c:formatCode>
                <c:ptCount val="16"/>
                <c:pt idx="0">
                  <c:v>1</c:v>
                </c:pt>
                <c:pt idx="1">
                  <c:v>3</c:v>
                </c:pt>
                <c:pt idx="2">
                  <c:v>2</c:v>
                </c:pt>
                <c:pt idx="3">
                  <c:v>2</c:v>
                </c:pt>
                <c:pt idx="4">
                  <c:v>2</c:v>
                </c:pt>
                <c:pt idx="5">
                  <c:v>2</c:v>
                </c:pt>
                <c:pt idx="6">
                  <c:v>2</c:v>
                </c:pt>
                <c:pt idx="7">
                  <c:v>1</c:v>
                </c:pt>
                <c:pt idx="8">
                  <c:v>1</c:v>
                </c:pt>
                <c:pt idx="9">
                  <c:v>1</c:v>
                </c:pt>
                <c:pt idx="10">
                  <c:v>1</c:v>
                </c:pt>
                <c:pt idx="11">
                  <c:v>1</c:v>
                </c:pt>
                <c:pt idx="12">
                  <c:v>5</c:v>
                </c:pt>
                <c:pt idx="13">
                  <c:v>3</c:v>
                </c:pt>
                <c:pt idx="14">
                  <c:v>2</c:v>
                </c:pt>
                <c:pt idx="15">
                  <c:v>1</c:v>
                </c:pt>
              </c:numCache>
            </c:numRef>
          </c:val>
          <c:extLst>
            <c:ext xmlns:c16="http://schemas.microsoft.com/office/drawing/2014/chart" uri="{C3380CC4-5D6E-409C-BE32-E72D297353CC}">
              <c16:uniqueId val="{00000000-F495-4654-AC29-9B488228C93D}"/>
            </c:ext>
          </c:extLst>
        </c:ser>
        <c:dLbls>
          <c:showLegendKey val="0"/>
          <c:showVal val="0"/>
          <c:showCatName val="0"/>
          <c:showSerName val="0"/>
          <c:showPercent val="0"/>
          <c:showBubbleSize val="0"/>
        </c:dLbls>
        <c:gapWidth val="219"/>
        <c:axId val="861175584"/>
        <c:axId val="678290272"/>
      </c:barChart>
      <c:lineChart>
        <c:grouping val="standard"/>
        <c:varyColors val="0"/>
        <c:ser>
          <c:idx val="0"/>
          <c:order val="0"/>
          <c:tx>
            <c:strRef>
              <c:f>Sheet8!$J$6</c:f>
              <c:strCache>
                <c:ptCount val="1"/>
                <c:pt idx="0">
                  <c:v>Total Sales</c:v>
                </c:pt>
              </c:strCache>
            </c:strRef>
          </c:tx>
          <c:spPr>
            <a:ln w="28575" cap="rnd">
              <a:solidFill>
                <a:schemeClr val="accent1"/>
              </a:solidFill>
              <a:round/>
            </a:ln>
            <a:effectLst/>
          </c:spPr>
          <c:marker>
            <c:symbol val="none"/>
          </c:marker>
          <c:cat>
            <c:multiLvlStrRef>
              <c:f>Sheet8!$I$7:$I$26</c:f>
              <c:multiLvlStrCache>
                <c:ptCount val="16"/>
                <c:lvl>
                  <c:pt idx="0">
                    <c:v>Monday</c:v>
                  </c:pt>
                  <c:pt idx="1">
                    <c:v>Saturday</c:v>
                  </c:pt>
                  <c:pt idx="2">
                    <c:v>Sunday</c:v>
                  </c:pt>
                  <c:pt idx="3">
                    <c:v>Thursday</c:v>
                  </c:pt>
                  <c:pt idx="4">
                    <c:v>Tuesday</c:v>
                  </c:pt>
                  <c:pt idx="5">
                    <c:v>Wednesday</c:v>
                  </c:pt>
                  <c:pt idx="6">
                    <c:v>Friday</c:v>
                  </c:pt>
                  <c:pt idx="7">
                    <c:v>Saturday</c:v>
                  </c:pt>
                  <c:pt idx="8">
                    <c:v>Sunday</c:v>
                  </c:pt>
                  <c:pt idx="9">
                    <c:v>Thursday</c:v>
                  </c:pt>
                  <c:pt idx="10">
                    <c:v>Wednesday</c:v>
                  </c:pt>
                  <c:pt idx="11">
                    <c:v>Friday</c:v>
                  </c:pt>
                  <c:pt idx="12">
                    <c:v>Monday</c:v>
                  </c:pt>
                  <c:pt idx="13">
                    <c:v>Saturday</c:v>
                  </c:pt>
                  <c:pt idx="14">
                    <c:v>Tuesday</c:v>
                  </c:pt>
                  <c:pt idx="15">
                    <c:v>Wednesday</c:v>
                  </c:pt>
                </c:lvl>
                <c:lvl>
                  <c:pt idx="0">
                    <c:v>February</c:v>
                  </c:pt>
                  <c:pt idx="6">
                    <c:v>January</c:v>
                  </c:pt>
                  <c:pt idx="11">
                    <c:v>March</c:v>
                  </c:pt>
                </c:lvl>
              </c:multiLvlStrCache>
            </c:multiLvlStrRef>
          </c:cat>
          <c:val>
            <c:numRef>
              <c:f>Sheet8!$J$7:$J$26</c:f>
              <c:numCache>
                <c:formatCode>General</c:formatCode>
                <c:ptCount val="16"/>
                <c:pt idx="0">
                  <c:v>3200</c:v>
                </c:pt>
                <c:pt idx="1">
                  <c:v>127950</c:v>
                </c:pt>
                <c:pt idx="2">
                  <c:v>138200</c:v>
                </c:pt>
                <c:pt idx="3">
                  <c:v>62000</c:v>
                </c:pt>
                <c:pt idx="4">
                  <c:v>236200</c:v>
                </c:pt>
                <c:pt idx="5">
                  <c:v>16200</c:v>
                </c:pt>
                <c:pt idx="6">
                  <c:v>17900</c:v>
                </c:pt>
                <c:pt idx="7">
                  <c:v>54400</c:v>
                </c:pt>
                <c:pt idx="8">
                  <c:v>7500</c:v>
                </c:pt>
                <c:pt idx="9">
                  <c:v>102000</c:v>
                </c:pt>
                <c:pt idx="10">
                  <c:v>900</c:v>
                </c:pt>
                <c:pt idx="11">
                  <c:v>6000</c:v>
                </c:pt>
                <c:pt idx="12">
                  <c:v>209200</c:v>
                </c:pt>
                <c:pt idx="13">
                  <c:v>40600</c:v>
                </c:pt>
                <c:pt idx="14">
                  <c:v>43200</c:v>
                </c:pt>
                <c:pt idx="15">
                  <c:v>2800</c:v>
                </c:pt>
              </c:numCache>
            </c:numRef>
          </c:val>
          <c:smooth val="0"/>
          <c:extLst>
            <c:ext xmlns:c16="http://schemas.microsoft.com/office/drawing/2014/chart" uri="{C3380CC4-5D6E-409C-BE32-E72D297353CC}">
              <c16:uniqueId val="{00000001-F495-4654-AC29-9B488228C93D}"/>
            </c:ext>
          </c:extLst>
        </c:ser>
        <c:dLbls>
          <c:showLegendKey val="0"/>
          <c:showVal val="0"/>
          <c:showCatName val="0"/>
          <c:showSerName val="0"/>
          <c:showPercent val="0"/>
          <c:showBubbleSize val="0"/>
        </c:dLbls>
        <c:marker val="1"/>
        <c:smooth val="0"/>
        <c:axId val="867723024"/>
        <c:axId val="837083552"/>
      </c:lineChart>
      <c:catAx>
        <c:axId val="867723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r>
                  <a:rPr lang="en-IN" baseline="0"/>
                  <a:t> and weekday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083552"/>
        <c:crosses val="autoZero"/>
        <c:auto val="1"/>
        <c:lblAlgn val="ctr"/>
        <c:lblOffset val="100"/>
        <c:noMultiLvlLbl val="0"/>
      </c:catAx>
      <c:valAx>
        <c:axId val="837083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723024"/>
        <c:crosses val="autoZero"/>
        <c:crossBetween val="between"/>
      </c:valAx>
      <c:valAx>
        <c:axId val="67829027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sales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175584"/>
        <c:crosses val="max"/>
        <c:crossBetween val="between"/>
      </c:valAx>
      <c:catAx>
        <c:axId val="861175584"/>
        <c:scaling>
          <c:orientation val="minMax"/>
        </c:scaling>
        <c:delete val="1"/>
        <c:axPos val="b"/>
        <c:numFmt formatCode="General" sourceLinked="1"/>
        <c:majorTickMark val="out"/>
        <c:minorTickMark val="none"/>
        <c:tickLblPos val="nextTo"/>
        <c:crossAx val="6782902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[TechPrepweek4.xlsx]Sheet3!PivotTable5</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Total Sale by Category and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multiLvlStrRef>
              <c:f>Sheet3!$A$4:$A$12</c:f>
              <c:multiLvlStrCache>
                <c:ptCount val="4"/>
                <c:lvl>
                  <c:pt idx="0">
                    <c:v>East</c:v>
                  </c:pt>
                  <c:pt idx="1">
                    <c:v>East</c:v>
                  </c:pt>
                  <c:pt idx="2">
                    <c:v>East</c:v>
                  </c:pt>
                  <c:pt idx="3">
                    <c:v>East</c:v>
                  </c:pt>
                </c:lvl>
                <c:lvl>
                  <c:pt idx="0">
                    <c:v>Clothing</c:v>
                  </c:pt>
                  <c:pt idx="1">
                    <c:v>Electronics</c:v>
                  </c:pt>
                  <c:pt idx="2">
                    <c:v>Home</c:v>
                  </c:pt>
                  <c:pt idx="3">
                    <c:v>Office</c:v>
                  </c:pt>
                </c:lvl>
              </c:multiLvlStrCache>
            </c:multiLvlStrRef>
          </c:cat>
          <c:val>
            <c:numRef>
              <c:f>Sheet3!$B$4:$B$12</c:f>
              <c:numCache>
                <c:formatCode>General</c:formatCode>
                <c:ptCount val="4"/>
                <c:pt idx="0">
                  <c:v>187750</c:v>
                </c:pt>
                <c:pt idx="1">
                  <c:v>313400</c:v>
                </c:pt>
                <c:pt idx="2">
                  <c:v>55100</c:v>
                </c:pt>
                <c:pt idx="3">
                  <c:v>512000</c:v>
                </c:pt>
              </c:numCache>
            </c:numRef>
          </c:val>
          <c:extLst>
            <c:ext xmlns:c16="http://schemas.microsoft.com/office/drawing/2014/chart" uri="{C3380CC4-5D6E-409C-BE32-E72D297353CC}">
              <c16:uniqueId val="{00000000-6070-4746-B10B-CACD17D72466}"/>
            </c:ext>
          </c:extLst>
        </c:ser>
        <c:dLbls>
          <c:showLegendKey val="0"/>
          <c:showVal val="0"/>
          <c:showCatName val="0"/>
          <c:showSerName val="0"/>
          <c:showPercent val="0"/>
          <c:showBubbleSize val="0"/>
        </c:dLbls>
        <c:gapWidth val="100"/>
        <c:overlap val="-24"/>
        <c:axId val="678451375"/>
        <c:axId val="101325727"/>
      </c:barChart>
      <c:catAx>
        <c:axId val="67845137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1325727"/>
        <c:crosses val="autoZero"/>
        <c:auto val="1"/>
        <c:lblAlgn val="ctr"/>
        <c:lblOffset val="100"/>
        <c:noMultiLvlLbl val="0"/>
      </c:catAx>
      <c:valAx>
        <c:axId val="10132572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8451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[TechPrepweek4.xlsx]PivotTable!PivotTable1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by weekday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c:f>
              <c:strCache>
                <c:ptCount val="1"/>
                <c:pt idx="0">
                  <c:v>Total</c:v>
                </c:pt>
              </c:strCache>
            </c:strRef>
          </c:tx>
          <c:spPr>
            <a:ln w="28575" cap="rnd">
              <a:solidFill>
                <a:schemeClr val="accent1"/>
              </a:solidFill>
              <a:round/>
            </a:ln>
            <a:effectLst/>
          </c:spPr>
          <c:marker>
            <c:symbol val="none"/>
          </c:marker>
          <c:cat>
            <c:multiLvlStrRef>
              <c:f>PivotTable!$A$4:$A$23</c:f>
              <c:multiLvlStrCache>
                <c:ptCount val="16"/>
                <c:lvl>
                  <c:pt idx="0">
                    <c:v>Sunday</c:v>
                  </c:pt>
                  <c:pt idx="1">
                    <c:v>Wednesday</c:v>
                  </c:pt>
                  <c:pt idx="2">
                    <c:v>Thursday</c:v>
                  </c:pt>
                  <c:pt idx="3">
                    <c:v>Friday</c:v>
                  </c:pt>
                  <c:pt idx="4">
                    <c:v>Saturday</c:v>
                  </c:pt>
                  <c:pt idx="5">
                    <c:v>Sunday</c:v>
                  </c:pt>
                  <c:pt idx="6">
                    <c:v>Monday</c:v>
                  </c:pt>
                  <c:pt idx="7">
                    <c:v>Tuesday</c:v>
                  </c:pt>
                  <c:pt idx="8">
                    <c:v>Wednesday</c:v>
                  </c:pt>
                  <c:pt idx="9">
                    <c:v>Thursday</c:v>
                  </c:pt>
                  <c:pt idx="10">
                    <c:v>Saturday</c:v>
                  </c:pt>
                  <c:pt idx="11">
                    <c:v>Monday</c:v>
                  </c:pt>
                  <c:pt idx="12">
                    <c:v>Tuesday</c:v>
                  </c:pt>
                  <c:pt idx="13">
                    <c:v>Wednesday</c:v>
                  </c:pt>
                  <c:pt idx="14">
                    <c:v>Friday</c:v>
                  </c:pt>
                  <c:pt idx="15">
                    <c:v>Saturday</c:v>
                  </c:pt>
                </c:lvl>
                <c:lvl>
                  <c:pt idx="0">
                    <c:v>January</c:v>
                  </c:pt>
                  <c:pt idx="5">
                    <c:v>February</c:v>
                  </c:pt>
                  <c:pt idx="11">
                    <c:v>March</c:v>
                  </c:pt>
                </c:lvl>
              </c:multiLvlStrCache>
            </c:multiLvlStrRef>
          </c:cat>
          <c:val>
            <c:numRef>
              <c:f>PivotTable!$B$4:$B$23</c:f>
              <c:numCache>
                <c:formatCode>General</c:formatCode>
                <c:ptCount val="16"/>
                <c:pt idx="0">
                  <c:v>7500</c:v>
                </c:pt>
                <c:pt idx="1">
                  <c:v>900</c:v>
                </c:pt>
                <c:pt idx="2">
                  <c:v>102000</c:v>
                </c:pt>
                <c:pt idx="3">
                  <c:v>17900</c:v>
                </c:pt>
                <c:pt idx="4">
                  <c:v>54400</c:v>
                </c:pt>
                <c:pt idx="5">
                  <c:v>138200</c:v>
                </c:pt>
                <c:pt idx="6">
                  <c:v>3200</c:v>
                </c:pt>
                <c:pt idx="7">
                  <c:v>236200</c:v>
                </c:pt>
                <c:pt idx="8">
                  <c:v>16200</c:v>
                </c:pt>
                <c:pt idx="9">
                  <c:v>62000</c:v>
                </c:pt>
                <c:pt idx="10">
                  <c:v>127950</c:v>
                </c:pt>
                <c:pt idx="11">
                  <c:v>209200</c:v>
                </c:pt>
                <c:pt idx="12">
                  <c:v>43200</c:v>
                </c:pt>
                <c:pt idx="13">
                  <c:v>2800</c:v>
                </c:pt>
                <c:pt idx="14">
                  <c:v>6000</c:v>
                </c:pt>
                <c:pt idx="15">
                  <c:v>40600</c:v>
                </c:pt>
              </c:numCache>
            </c:numRef>
          </c:val>
          <c:smooth val="0"/>
          <c:extLst>
            <c:ext xmlns:c16="http://schemas.microsoft.com/office/drawing/2014/chart" uri="{C3380CC4-5D6E-409C-BE32-E72D297353CC}">
              <c16:uniqueId val="{00000000-D221-4638-A0CE-4D6CD0B5FFE3}"/>
            </c:ext>
          </c:extLst>
        </c:ser>
        <c:dLbls>
          <c:showLegendKey val="0"/>
          <c:showVal val="0"/>
          <c:showCatName val="0"/>
          <c:showSerName val="0"/>
          <c:showPercent val="0"/>
          <c:showBubbleSize val="0"/>
        </c:dLbls>
        <c:smooth val="0"/>
        <c:axId val="867670592"/>
        <c:axId val="837102272"/>
      </c:lineChart>
      <c:catAx>
        <c:axId val="86767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102272"/>
        <c:crosses val="autoZero"/>
        <c:auto val="1"/>
        <c:lblAlgn val="ctr"/>
        <c:lblOffset val="100"/>
        <c:noMultiLvlLbl val="0"/>
      </c:catAx>
      <c:valAx>
        <c:axId val="83710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67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[TechPrepweek4.xlsx]Result QA1!PivotTable22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SalesAmount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'Result QA1'!$B$3</c:f>
              <c:strCache>
                <c:ptCount val="1"/>
                <c:pt idx="0">
                  <c:v>Total</c:v>
                </c:pt>
              </c:strCache>
            </c:strRef>
          </c:tx>
          <c:spPr>
            <a:solidFill>
              <a:schemeClr val="accent1"/>
            </a:solidFill>
            <a:ln>
              <a:noFill/>
            </a:ln>
            <a:effectLst/>
          </c:spPr>
          <c:invertIfNegative val="0"/>
          <c:cat>
            <c:strRef>
              <c:f>'Result QA1'!$A$4:$A$6</c:f>
              <c:strCache>
                <c:ptCount val="3"/>
                <c:pt idx="0">
                  <c:v>January</c:v>
                </c:pt>
                <c:pt idx="1">
                  <c:v>February</c:v>
                </c:pt>
                <c:pt idx="2">
                  <c:v>March</c:v>
                </c:pt>
              </c:strCache>
            </c:strRef>
          </c:cat>
          <c:val>
            <c:numRef>
              <c:f>'Result QA1'!$B$4:$B$6</c:f>
              <c:numCache>
                <c:formatCode>General</c:formatCode>
                <c:ptCount val="3"/>
                <c:pt idx="0">
                  <c:v>182700</c:v>
                </c:pt>
                <c:pt idx="1">
                  <c:v>583750</c:v>
                </c:pt>
                <c:pt idx="2">
                  <c:v>301800</c:v>
                </c:pt>
              </c:numCache>
            </c:numRef>
          </c:val>
          <c:extLst>
            <c:ext xmlns:c16="http://schemas.microsoft.com/office/drawing/2014/chart" uri="{C3380CC4-5D6E-409C-BE32-E72D297353CC}">
              <c16:uniqueId val="{00000000-D4AE-4491-AE22-7DE9FF5ED61C}"/>
            </c:ext>
          </c:extLst>
        </c:ser>
        <c:dLbls>
          <c:showLegendKey val="0"/>
          <c:showVal val="0"/>
          <c:showCatName val="0"/>
          <c:showSerName val="0"/>
          <c:showPercent val="0"/>
          <c:showBubbleSize val="0"/>
        </c:dLbls>
        <c:gapWidth val="219"/>
        <c:overlap val="-27"/>
        <c:axId val="2016440848"/>
        <c:axId val="1767423584"/>
      </c:barChart>
      <c:catAx>
        <c:axId val="201644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423584"/>
        <c:crosses val="autoZero"/>
        <c:auto val="1"/>
        <c:lblAlgn val="ctr"/>
        <c:lblOffset val="100"/>
        <c:noMultiLvlLbl val="0"/>
      </c:catAx>
      <c:valAx>
        <c:axId val="176742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440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[TechPrepweek4.xlsx]QA2!PivotTable66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SalesAmount by WeekDay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'QA2'!$C$3</c:f>
              <c:strCache>
                <c:ptCount val="1"/>
                <c:pt idx="0">
                  <c:v>Total</c:v>
                </c:pt>
              </c:strCache>
            </c:strRef>
          </c:tx>
          <c:spPr>
            <a:solidFill>
              <a:schemeClr val="accent1"/>
            </a:solidFill>
            <a:ln>
              <a:noFill/>
            </a:ln>
            <a:effectLst/>
          </c:spPr>
          <c:invertIfNegative val="0"/>
          <c:cat>
            <c:multiLvlStrRef>
              <c:f>'QA2'!$A$4:$B$19</c:f>
              <c:multiLvlStrCache>
                <c:ptCount val="16"/>
                <c:lvl>
                  <c:pt idx="0">
                    <c:v>Sunday</c:v>
                  </c:pt>
                  <c:pt idx="1">
                    <c:v>Wednesday</c:v>
                  </c:pt>
                  <c:pt idx="2">
                    <c:v>Thursday</c:v>
                  </c:pt>
                  <c:pt idx="3">
                    <c:v>Friday</c:v>
                  </c:pt>
                  <c:pt idx="4">
                    <c:v>Saturday</c:v>
                  </c:pt>
                  <c:pt idx="5">
                    <c:v>Sunday</c:v>
                  </c:pt>
                  <c:pt idx="6">
                    <c:v>Monday</c:v>
                  </c:pt>
                  <c:pt idx="7">
                    <c:v>Tuesday</c:v>
                  </c:pt>
                  <c:pt idx="8">
                    <c:v>Wednesday</c:v>
                  </c:pt>
                  <c:pt idx="9">
                    <c:v>Thursday</c:v>
                  </c:pt>
                  <c:pt idx="10">
                    <c:v>Saturday</c:v>
                  </c:pt>
                  <c:pt idx="11">
                    <c:v>Monday</c:v>
                  </c:pt>
                  <c:pt idx="12">
                    <c:v>Tuesday</c:v>
                  </c:pt>
                  <c:pt idx="13">
                    <c:v>Wednesday</c:v>
                  </c:pt>
                  <c:pt idx="14">
                    <c:v>Friday</c:v>
                  </c:pt>
                  <c:pt idx="15">
                    <c:v>Saturday</c:v>
                  </c:pt>
                </c:lvl>
                <c:lvl>
                  <c:pt idx="0">
                    <c:v>January</c:v>
                  </c:pt>
                  <c:pt idx="5">
                    <c:v>February</c:v>
                  </c:pt>
                  <c:pt idx="11">
                    <c:v>March</c:v>
                  </c:pt>
                </c:lvl>
              </c:multiLvlStrCache>
            </c:multiLvlStrRef>
          </c:cat>
          <c:val>
            <c:numRef>
              <c:f>'QA2'!$C$4:$C$19</c:f>
              <c:numCache>
                <c:formatCode>General</c:formatCode>
                <c:ptCount val="16"/>
                <c:pt idx="0">
                  <c:v>7500</c:v>
                </c:pt>
                <c:pt idx="1">
                  <c:v>900</c:v>
                </c:pt>
                <c:pt idx="2">
                  <c:v>102000</c:v>
                </c:pt>
                <c:pt idx="3">
                  <c:v>17900</c:v>
                </c:pt>
                <c:pt idx="4">
                  <c:v>54400</c:v>
                </c:pt>
                <c:pt idx="5">
                  <c:v>138200</c:v>
                </c:pt>
                <c:pt idx="6">
                  <c:v>3200</c:v>
                </c:pt>
                <c:pt idx="7">
                  <c:v>236200</c:v>
                </c:pt>
                <c:pt idx="8">
                  <c:v>16200</c:v>
                </c:pt>
                <c:pt idx="9">
                  <c:v>62000</c:v>
                </c:pt>
                <c:pt idx="10">
                  <c:v>127950</c:v>
                </c:pt>
                <c:pt idx="11">
                  <c:v>209200</c:v>
                </c:pt>
                <c:pt idx="12">
                  <c:v>43200</c:v>
                </c:pt>
                <c:pt idx="13">
                  <c:v>2800</c:v>
                </c:pt>
                <c:pt idx="14">
                  <c:v>6000</c:v>
                </c:pt>
                <c:pt idx="15">
                  <c:v>40600</c:v>
                </c:pt>
              </c:numCache>
            </c:numRef>
          </c:val>
          <c:extLst>
            <c:ext xmlns:c16="http://schemas.microsoft.com/office/drawing/2014/chart" uri="{C3380CC4-5D6E-409C-BE32-E72D297353CC}">
              <c16:uniqueId val="{00000000-4845-4B45-8AC4-9E7D84A4FA4C}"/>
            </c:ext>
          </c:extLst>
        </c:ser>
        <c:dLbls>
          <c:showLegendKey val="0"/>
          <c:showVal val="0"/>
          <c:showCatName val="0"/>
          <c:showSerName val="0"/>
          <c:showPercent val="0"/>
          <c:showBubbleSize val="0"/>
        </c:dLbls>
        <c:gapWidth val="219"/>
        <c:overlap val="-27"/>
        <c:axId val="27555616"/>
        <c:axId val="1767421184"/>
      </c:barChart>
      <c:catAx>
        <c:axId val="2755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421184"/>
        <c:crosses val="autoZero"/>
        <c:auto val="1"/>
        <c:lblAlgn val="ctr"/>
        <c:lblOffset val="100"/>
        <c:noMultiLvlLbl val="0"/>
      </c:catAx>
      <c:valAx>
        <c:axId val="1767421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55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12</xdr:col>
      <xdr:colOff>449580</xdr:colOff>
      <xdr:row>7</xdr:row>
      <xdr:rowOff>110490</xdr:rowOff>
    </xdr:from>
    <xdr:to>
      <xdr:col>17</xdr:col>
      <xdr:colOff>243840</xdr:colOff>
      <xdr:row>22</xdr:row>
      <xdr:rowOff>110490</xdr:rowOff>
    </xdr:to>
    <xdr:graphicFrame macro="">
      <xdr:nvGraphicFramePr>
        <xdr:cNvPr id="3" name="Chart 2">
          <a:extLst>
            <a:ext uri="{FF2B5EF4-FFF2-40B4-BE49-F238E27FC236}">
              <a16:creationId xmlns:a16="http://schemas.microsoft.com/office/drawing/2014/main" id="{F634CCE7-51AF-32FC-6814-73E52E97E8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160020</xdr:colOff>
      <xdr:row>4</xdr:row>
      <xdr:rowOff>11430</xdr:rowOff>
    </xdr:from>
    <xdr:to>
      <xdr:col>7</xdr:col>
      <xdr:colOff>373380</xdr:colOff>
      <xdr:row>19</xdr:row>
      <xdr:rowOff>11430</xdr:rowOff>
    </xdr:to>
    <xdr:graphicFrame macro="">
      <xdr:nvGraphicFramePr>
        <xdr:cNvPr id="2" name="Chart 1">
          <a:extLst>
            <a:ext uri="{FF2B5EF4-FFF2-40B4-BE49-F238E27FC236}">
              <a16:creationId xmlns:a16="http://schemas.microsoft.com/office/drawing/2014/main" id="{566420F8-2C1A-ED3C-D4E5-7169F5B81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121920</xdr:colOff>
      <xdr:row>4</xdr:row>
      <xdr:rowOff>19050</xdr:rowOff>
    </xdr:from>
    <xdr:to>
      <xdr:col>19</xdr:col>
      <xdr:colOff>7620</xdr:colOff>
      <xdr:row>19</xdr:row>
      <xdr:rowOff>19050</xdr:rowOff>
    </xdr:to>
    <xdr:graphicFrame macro="">
      <xdr:nvGraphicFramePr>
        <xdr:cNvPr id="5" name="Chart 4">
          <a:extLst>
            <a:ext uri="{FF2B5EF4-FFF2-40B4-BE49-F238E27FC236}">
              <a16:creationId xmlns:a16="http://schemas.microsoft.com/office/drawing/2014/main" id="{0ED220B5-FF9B-EE94-A570-FC2AFBD82B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53340</xdr:colOff>
      <xdr:row>3</xdr:row>
      <xdr:rowOff>91440</xdr:rowOff>
    </xdr:to>
    <xdr:sp macro="" textlink="">
      <xdr:nvSpPr>
        <xdr:cNvPr id="2" name="Rectangle 1">
          <a:extLst>
            <a:ext uri="{FF2B5EF4-FFF2-40B4-BE49-F238E27FC236}">
              <a16:creationId xmlns:a16="http://schemas.microsoft.com/office/drawing/2014/main" id="{3128D30D-4353-C8AC-E536-34A90C08564D}"/>
            </a:ext>
          </a:extLst>
        </xdr:cNvPr>
        <xdr:cNvSpPr/>
      </xdr:nvSpPr>
      <xdr:spPr>
        <a:xfrm>
          <a:off x="0" y="0"/>
          <a:ext cx="14485620" cy="640080"/>
        </a:xfrm>
        <a:prstGeom prst="rect">
          <a:avLst/>
        </a:prstGeom>
        <a:solidFill>
          <a:schemeClr val="accent6"/>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2400" b="1" baseline="0">
              <a:latin typeface="Cambria" panose="02040503050406030204" pitchFamily="18" charset="0"/>
              <a:ea typeface="Cambria" panose="02040503050406030204" pitchFamily="18" charset="0"/>
            </a:rPr>
            <a:t>                                                                                            </a:t>
          </a:r>
          <a:r>
            <a:rPr lang="en-IN" sz="2400" b="1">
              <a:latin typeface="Cambria" panose="02040503050406030204" pitchFamily="18" charset="0"/>
              <a:ea typeface="Cambria" panose="02040503050406030204" pitchFamily="18" charset="0"/>
            </a:rPr>
            <a:t> </a:t>
          </a:r>
          <a:r>
            <a:rPr lang="en-IN" sz="2800" b="1">
              <a:latin typeface="Cambria" panose="02040503050406030204" pitchFamily="18" charset="0"/>
              <a:ea typeface="Cambria" panose="02040503050406030204" pitchFamily="18" charset="0"/>
            </a:rPr>
            <a:t>Sales Dashboard</a:t>
          </a:r>
        </a:p>
      </xdr:txBody>
    </xdr:sp>
    <xdr:clientData/>
  </xdr:twoCellAnchor>
  <xdr:twoCellAnchor>
    <xdr:from>
      <xdr:col>0</xdr:col>
      <xdr:colOff>0</xdr:colOff>
      <xdr:row>3</xdr:row>
      <xdr:rowOff>60960</xdr:rowOff>
    </xdr:from>
    <xdr:to>
      <xdr:col>22</xdr:col>
      <xdr:colOff>53340</xdr:colOff>
      <xdr:row>35</xdr:row>
      <xdr:rowOff>7620</xdr:rowOff>
    </xdr:to>
    <xdr:sp macro="" textlink="">
      <xdr:nvSpPr>
        <xdr:cNvPr id="8" name="Rectangle 7">
          <a:extLst>
            <a:ext uri="{FF2B5EF4-FFF2-40B4-BE49-F238E27FC236}">
              <a16:creationId xmlns:a16="http://schemas.microsoft.com/office/drawing/2014/main" id="{4DA36945-E502-3ABD-66ED-FE8C9830F200}"/>
            </a:ext>
          </a:extLst>
        </xdr:cNvPr>
        <xdr:cNvSpPr/>
      </xdr:nvSpPr>
      <xdr:spPr>
        <a:xfrm>
          <a:off x="0" y="609600"/>
          <a:ext cx="14485620" cy="579882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459888</xdr:colOff>
      <xdr:row>4</xdr:row>
      <xdr:rowOff>41685</xdr:rowOff>
    </xdr:from>
    <xdr:to>
      <xdr:col>21</xdr:col>
      <xdr:colOff>349623</xdr:colOff>
      <xdr:row>18</xdr:row>
      <xdr:rowOff>98612</xdr:rowOff>
    </xdr:to>
    <xdr:graphicFrame macro="">
      <xdr:nvGraphicFramePr>
        <xdr:cNvPr id="9" name="Chart 8">
          <a:extLst>
            <a:ext uri="{FF2B5EF4-FFF2-40B4-BE49-F238E27FC236}">
              <a16:creationId xmlns:a16="http://schemas.microsoft.com/office/drawing/2014/main" id="{B7C2C4D8-8B7A-4FEA-A33A-6C9AD6051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938562</xdr:colOff>
      <xdr:row>7</xdr:row>
      <xdr:rowOff>125649</xdr:rowOff>
    </xdr:from>
    <xdr:to>
      <xdr:col>7</xdr:col>
      <xdr:colOff>29078</xdr:colOff>
      <xdr:row>33</xdr:row>
      <xdr:rowOff>134470</xdr:rowOff>
    </xdr:to>
    <xdr:graphicFrame macro="">
      <xdr:nvGraphicFramePr>
        <xdr:cNvPr id="10" name="Chart 9">
          <a:extLst>
            <a:ext uri="{FF2B5EF4-FFF2-40B4-BE49-F238E27FC236}">
              <a16:creationId xmlns:a16="http://schemas.microsoft.com/office/drawing/2014/main" id="{B6FE2518-45DC-46BC-83EA-BD7C95305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74593</xdr:colOff>
      <xdr:row>4</xdr:row>
      <xdr:rowOff>62755</xdr:rowOff>
    </xdr:from>
    <xdr:to>
      <xdr:col>13</xdr:col>
      <xdr:colOff>439270</xdr:colOff>
      <xdr:row>18</xdr:row>
      <xdr:rowOff>89649</xdr:rowOff>
    </xdr:to>
    <xdr:graphicFrame macro="">
      <xdr:nvGraphicFramePr>
        <xdr:cNvPr id="11" name="Chart 10">
          <a:extLst>
            <a:ext uri="{FF2B5EF4-FFF2-40B4-BE49-F238E27FC236}">
              <a16:creationId xmlns:a16="http://schemas.microsoft.com/office/drawing/2014/main" id="{5C4EB822-EF87-422B-9A03-F98B877EB2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114300</xdr:colOff>
      <xdr:row>4</xdr:row>
      <xdr:rowOff>53340</xdr:rowOff>
    </xdr:from>
    <xdr:to>
      <xdr:col>6</xdr:col>
      <xdr:colOff>495300</xdr:colOff>
      <xdr:row>7</xdr:row>
      <xdr:rowOff>30480</xdr:rowOff>
    </xdr:to>
    <xdr:sp macro="" textlink="">
      <xdr:nvSpPr>
        <xdr:cNvPr id="12" name="Rectangle: Rounded Corners 11">
          <a:extLst>
            <a:ext uri="{FF2B5EF4-FFF2-40B4-BE49-F238E27FC236}">
              <a16:creationId xmlns:a16="http://schemas.microsoft.com/office/drawing/2014/main" id="{A2E0ED12-4553-39B4-9D04-2842F0821A36}"/>
            </a:ext>
          </a:extLst>
        </xdr:cNvPr>
        <xdr:cNvSpPr/>
      </xdr:nvSpPr>
      <xdr:spPr>
        <a:xfrm>
          <a:off x="3573780" y="784860"/>
          <a:ext cx="1600200" cy="525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Cambria" panose="02040503050406030204" pitchFamily="18" charset="0"/>
              <a:ea typeface="Cambria" panose="02040503050406030204" pitchFamily="18" charset="0"/>
            </a:rPr>
            <a:t>      Total Products</a:t>
          </a:r>
        </a:p>
      </xdr:txBody>
    </xdr:sp>
    <xdr:clientData/>
  </xdr:twoCellAnchor>
  <xdr:twoCellAnchor>
    <xdr:from>
      <xdr:col>1</xdr:col>
      <xdr:colOff>944880</xdr:colOff>
      <xdr:row>4</xdr:row>
      <xdr:rowOff>30480</xdr:rowOff>
    </xdr:from>
    <xdr:to>
      <xdr:col>4</xdr:col>
      <xdr:colOff>53340</xdr:colOff>
      <xdr:row>7</xdr:row>
      <xdr:rowOff>53340</xdr:rowOff>
    </xdr:to>
    <xdr:sp macro="" textlink="">
      <xdr:nvSpPr>
        <xdr:cNvPr id="13" name="Rectangle: Rounded Corners 12">
          <a:extLst>
            <a:ext uri="{FF2B5EF4-FFF2-40B4-BE49-F238E27FC236}">
              <a16:creationId xmlns:a16="http://schemas.microsoft.com/office/drawing/2014/main" id="{6D3F2BD6-3FB4-4DF0-A3A3-F518FBF3622F}"/>
            </a:ext>
          </a:extLst>
        </xdr:cNvPr>
        <xdr:cNvSpPr/>
      </xdr:nvSpPr>
      <xdr:spPr>
        <a:xfrm>
          <a:off x="1897380" y="762000"/>
          <a:ext cx="1615440" cy="571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200">
              <a:latin typeface="Cambria" panose="02040503050406030204" pitchFamily="18" charset="0"/>
              <a:ea typeface="Cambria" panose="02040503050406030204" pitchFamily="18" charset="0"/>
            </a:rPr>
            <a:t>Total Sales</a:t>
          </a:r>
        </a:p>
      </xdr:txBody>
    </xdr:sp>
    <xdr:clientData/>
  </xdr:twoCellAnchor>
  <xdr:twoCellAnchor>
    <xdr:from>
      <xdr:col>2</xdr:col>
      <xdr:colOff>91440</xdr:colOff>
      <xdr:row>5</xdr:row>
      <xdr:rowOff>91440</xdr:rowOff>
    </xdr:from>
    <xdr:to>
      <xdr:col>3</xdr:col>
      <xdr:colOff>327660</xdr:colOff>
      <xdr:row>6</xdr:row>
      <xdr:rowOff>99060</xdr:rowOff>
    </xdr:to>
    <xdr:sp macro="" textlink="Sheet6!B28">
      <xdr:nvSpPr>
        <xdr:cNvPr id="16" name="TextBox 15">
          <a:extLst>
            <a:ext uri="{FF2B5EF4-FFF2-40B4-BE49-F238E27FC236}">
              <a16:creationId xmlns:a16="http://schemas.microsoft.com/office/drawing/2014/main" id="{D7B5D3F4-8F41-470D-EF3E-3D582151D109}"/>
            </a:ext>
          </a:extLst>
        </xdr:cNvPr>
        <xdr:cNvSpPr txBox="1"/>
      </xdr:nvSpPr>
      <xdr:spPr>
        <a:xfrm>
          <a:off x="2331720" y="1005840"/>
          <a:ext cx="845820" cy="19050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fld id="{394EFC04-E3A0-441C-8F7C-1C17A2BC9BAD}" type="TxLink">
            <a:rPr lang="en-US" sz="1100" b="0" i="0" u="none" strike="noStrike">
              <a:solidFill>
                <a:srgbClr val="000000"/>
              </a:solidFill>
              <a:latin typeface="Calibri"/>
              <a:cs typeface="Calibri"/>
            </a:rPr>
            <a:pPr/>
            <a:t>1068250</a:t>
          </a:fld>
          <a:endParaRPr lang="en-IN" sz="1100"/>
        </a:p>
      </xdr:txBody>
    </xdr:sp>
    <xdr:clientData/>
  </xdr:twoCellAnchor>
  <xdr:twoCellAnchor>
    <xdr:from>
      <xdr:col>5</xdr:col>
      <xdr:colOff>83820</xdr:colOff>
      <xdr:row>5</xdr:row>
      <xdr:rowOff>91440</xdr:rowOff>
    </xdr:from>
    <xdr:to>
      <xdr:col>5</xdr:col>
      <xdr:colOff>586740</xdr:colOff>
      <xdr:row>6</xdr:row>
      <xdr:rowOff>99060</xdr:rowOff>
    </xdr:to>
    <xdr:sp macro="" textlink="Sheet6!C28">
      <xdr:nvSpPr>
        <xdr:cNvPr id="17" name="TextBox 16">
          <a:extLst>
            <a:ext uri="{FF2B5EF4-FFF2-40B4-BE49-F238E27FC236}">
              <a16:creationId xmlns:a16="http://schemas.microsoft.com/office/drawing/2014/main" id="{2CFF8ED1-60AD-9C26-D031-7DFF0CC4E5A8}"/>
            </a:ext>
          </a:extLst>
        </xdr:cNvPr>
        <xdr:cNvSpPr txBox="1"/>
      </xdr:nvSpPr>
      <xdr:spPr>
        <a:xfrm>
          <a:off x="4152900" y="1005840"/>
          <a:ext cx="502920" cy="190500"/>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fld id="{546E7A47-DBF4-4895-B66B-31119785E875}" type="TxLink">
            <a:rPr lang="en-US" sz="1100" b="0" i="0" u="none" strike="noStrike">
              <a:solidFill>
                <a:srgbClr val="000000"/>
              </a:solidFill>
              <a:latin typeface="Calibri"/>
              <a:cs typeface="Calibri"/>
            </a:rPr>
            <a:pPr/>
            <a:t>30</a:t>
          </a:fld>
          <a:endParaRPr lang="en-IN" sz="1100"/>
        </a:p>
      </xdr:txBody>
    </xdr:sp>
    <xdr:clientData/>
  </xdr:twoCellAnchor>
  <xdr:twoCellAnchor editAs="oneCell">
    <xdr:from>
      <xdr:col>0</xdr:col>
      <xdr:colOff>15240</xdr:colOff>
      <xdr:row>4</xdr:row>
      <xdr:rowOff>7620</xdr:rowOff>
    </xdr:from>
    <xdr:to>
      <xdr:col>1</xdr:col>
      <xdr:colOff>891540</xdr:colOff>
      <xdr:row>17</xdr:row>
      <xdr:rowOff>71718</xdr:rowOff>
    </xdr:to>
    <mc:AlternateContent xmlns:mc="http://schemas.openxmlformats.org/markup-compatibility/2006" xmlns:a14="http://schemas.microsoft.com/office/drawing/2010/main">
      <mc:Choice Requires="a14">
        <xdr:graphicFrame macro="">
          <xdr:nvGraphicFramePr>
            <xdr:cNvPr id="19" name="RegionName">
              <a:extLst>
                <a:ext uri="{FF2B5EF4-FFF2-40B4-BE49-F238E27FC236}">
                  <a16:creationId xmlns:a16="http://schemas.microsoft.com/office/drawing/2014/main" id="{AEB4ABC3-A26D-23CF-4248-5A6016F51315}"/>
                </a:ext>
              </a:extLst>
            </xdr:cNvPr>
            <xdr:cNvGraphicFramePr/>
          </xdr:nvGraphicFramePr>
          <xdr:xfrm>
            <a:off x="0" y="0"/>
            <a:ext cx="0" cy="0"/>
          </xdr:xfrm>
          <a:graphic>
            <a:graphicData uri="http://schemas.microsoft.com/office/drawing/2010/slicer">
              <sle:slicer xmlns:sle="http://schemas.microsoft.com/office/drawing/2010/slicer" name="RegionName"/>
            </a:graphicData>
          </a:graphic>
        </xdr:graphicFrame>
      </mc:Choice>
      <mc:Fallback xmlns="">
        <xdr:sp macro="" textlink="">
          <xdr:nvSpPr>
            <xdr:cNvPr id="0" name=""/>
            <xdr:cNvSpPr>
              <a:spLocks noTextEdit="1"/>
            </xdr:cNvSpPr>
          </xdr:nvSpPr>
          <xdr:spPr>
            <a:xfrm>
              <a:off x="15240" y="724796"/>
              <a:ext cx="1826559" cy="2315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6651</xdr:colOff>
      <xdr:row>18</xdr:row>
      <xdr:rowOff>161365</xdr:rowOff>
    </xdr:from>
    <xdr:to>
      <xdr:col>1</xdr:col>
      <xdr:colOff>882951</xdr:colOff>
      <xdr:row>33</xdr:row>
      <xdr:rowOff>107575</xdr:rowOff>
    </xdr:to>
    <mc:AlternateContent xmlns:mc="http://schemas.openxmlformats.org/markup-compatibility/2006">
      <mc:Choice xmlns:a14="http://schemas.microsoft.com/office/drawing/2010/main" Requires="a14">
        <xdr:graphicFrame macro="">
          <xdr:nvGraphicFramePr>
            <xdr:cNvPr id="20" name="Category">
              <a:extLst>
                <a:ext uri="{FF2B5EF4-FFF2-40B4-BE49-F238E27FC236}">
                  <a16:creationId xmlns:a16="http://schemas.microsoft.com/office/drawing/2014/main" id="{DD10F4DC-36CD-C227-1713-81AB4332D3B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651" y="3510621"/>
              <a:ext cx="1833230" cy="27372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53788</xdr:colOff>
      <xdr:row>18</xdr:row>
      <xdr:rowOff>107576</xdr:rowOff>
    </xdr:from>
    <xdr:to>
      <xdr:col>21</xdr:col>
      <xdr:colOff>376518</xdr:colOff>
      <xdr:row>33</xdr:row>
      <xdr:rowOff>134469</xdr:rowOff>
    </xdr:to>
    <xdr:graphicFrame macro="">
      <xdr:nvGraphicFramePr>
        <xdr:cNvPr id="4" name="Chart 3">
          <a:extLst>
            <a:ext uri="{FF2B5EF4-FFF2-40B4-BE49-F238E27FC236}">
              <a16:creationId xmlns:a16="http://schemas.microsoft.com/office/drawing/2014/main" id="{314C293F-4314-43AE-9126-217BC6E3E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5</xdr:row>
      <xdr:rowOff>49530</xdr:rowOff>
    </xdr:from>
    <xdr:to>
      <xdr:col>10</xdr:col>
      <xdr:colOff>434340</xdr:colOff>
      <xdr:row>20</xdr:row>
      <xdr:rowOff>49530</xdr:rowOff>
    </xdr:to>
    <xdr:graphicFrame macro="">
      <xdr:nvGraphicFramePr>
        <xdr:cNvPr id="3" name="Chart 2">
          <a:extLst>
            <a:ext uri="{FF2B5EF4-FFF2-40B4-BE49-F238E27FC236}">
              <a16:creationId xmlns:a16="http://schemas.microsoft.com/office/drawing/2014/main" id="{68372F93-8EC7-67BA-A375-AC23F07B4D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495300</xdr:colOff>
      <xdr:row>1</xdr:row>
      <xdr:rowOff>3810</xdr:rowOff>
    </xdr:from>
    <xdr:to>
      <xdr:col>9</xdr:col>
      <xdr:colOff>327660</xdr:colOff>
      <xdr:row>15</xdr:row>
      <xdr:rowOff>137160</xdr:rowOff>
    </xdr:to>
    <xdr:graphicFrame macro="">
      <xdr:nvGraphicFramePr>
        <xdr:cNvPr id="3" name="Chart 2">
          <a:extLst>
            <a:ext uri="{FF2B5EF4-FFF2-40B4-BE49-F238E27FC236}">
              <a16:creationId xmlns:a16="http://schemas.microsoft.com/office/drawing/2014/main" id="{483F7BAB-8834-1212-6657-EB1B9A8C7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7620</xdr:colOff>
      <xdr:row>8</xdr:row>
      <xdr:rowOff>3810</xdr:rowOff>
    </xdr:from>
    <xdr:to>
      <xdr:col>11</xdr:col>
      <xdr:colOff>312420</xdr:colOff>
      <xdr:row>23</xdr:row>
      <xdr:rowOff>3810</xdr:rowOff>
    </xdr:to>
    <xdr:graphicFrame macro="">
      <xdr:nvGraphicFramePr>
        <xdr:cNvPr id="2" name="Chart 1">
          <a:extLst>
            <a:ext uri="{FF2B5EF4-FFF2-40B4-BE49-F238E27FC236}">
              <a16:creationId xmlns:a16="http://schemas.microsoft.com/office/drawing/2014/main" id="{879BEAA4-7542-9F13-C518-24AD9579EC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304800</xdr:colOff>
      <xdr:row>8</xdr:row>
      <xdr:rowOff>3810</xdr:rowOff>
    </xdr:from>
    <xdr:to>
      <xdr:col>14</xdr:col>
      <xdr:colOff>0</xdr:colOff>
      <xdr:row>23</xdr:row>
      <xdr:rowOff>3810</xdr:rowOff>
    </xdr:to>
    <xdr:graphicFrame macro="">
      <xdr:nvGraphicFramePr>
        <xdr:cNvPr id="2" name="Chart 1">
          <a:extLst>
            <a:ext uri="{FF2B5EF4-FFF2-40B4-BE49-F238E27FC236}">
              <a16:creationId xmlns:a16="http://schemas.microsoft.com/office/drawing/2014/main" id="{FC511E69-E4CF-E303-A620-A478E6C736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19.274037037037" createdVersion="8" refreshedVersion="8" minRefreshableVersion="3" recordCount="30" xr:uid="{152EB13D-7883-4AE3-9AC4-2519E3F11AD0}">
  <cacheSource type="worksheet">
    <worksheetSource name="Table1"/>
  </cacheSource>
  <cacheFields count="7">
    <cacheField name="OrderID" numFmtId="0">
      <sharedItems/>
    </cacheField>
    <cacheField name="OrderDate" numFmtId="14">
      <sharedItems containsSemiMixedTypes="0" containsNonDate="0" containsDate="1" containsString="0" minDate="2025-01-01T00:00:00" maxDate="2025-03-26T00:00:00"/>
    </cacheField>
    <cacheField name="ProductID" numFmtId="0">
      <sharedItems count="30">
        <s v="PD01"/>
        <s v="PD02"/>
        <s v="PD03"/>
        <s v="PD04"/>
        <s v="PD05"/>
        <s v="PD06"/>
        <s v="PD07"/>
        <s v="PD08"/>
        <s v="PD09"/>
        <s v="PD10"/>
        <s v="PD11"/>
        <s v="PD12"/>
        <s v="PD13"/>
        <s v="PD14"/>
        <s v="PD15"/>
        <s v="PD16"/>
        <s v="PD17"/>
        <s v="PD18"/>
        <s v="PD19"/>
        <s v="PD20"/>
        <s v="PD21"/>
        <s v="PD22"/>
        <s v="PD23"/>
        <s v="PD24"/>
        <s v="PD25"/>
        <s v="PD26"/>
        <s v="PD27"/>
        <s v="PD28"/>
        <s v="PD29"/>
        <s v="PD30"/>
      </sharedItems>
    </cacheField>
    <cacheField name="Quantity" numFmtId="0">
      <sharedItems containsSemiMixedTypes="0" containsString="0" containsNumber="1" containsInteger="1" minValue="1" maxValue="22"/>
    </cacheField>
    <cacheField name="SalesAmount" numFmtId="0">
      <sharedItems containsSemiMixedTypes="0" containsString="0" containsNumber="1" containsInteger="1" minValue="900" maxValue="220000"/>
    </cacheField>
    <cacheField name="Month" numFmtId="0">
      <sharedItems count="3">
        <s v="January"/>
        <s v="February"/>
        <s v="March"/>
      </sharedItems>
    </cacheField>
    <cacheField name="WeekDay" numFmtId="0">
      <sharedItems count="7">
        <s v="Wednesday"/>
        <s v="Thursday"/>
        <s v="Friday"/>
        <s v="Saturday"/>
        <s v="Sunday"/>
        <s v="Tuesday"/>
        <s v="Monday"/>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21.449156249997" createdVersion="8" refreshedVersion="8" minRefreshableVersion="3" recordCount="30" xr:uid="{FEFF799C-6112-46F0-B7CA-F113C2A1027A}">
  <cacheSource type="worksheet">
    <worksheetSource name="Table13"/>
  </cacheSource>
  <cacheFields count="7">
    <cacheField name="OrderID" numFmtId="0">
      <sharedItems/>
    </cacheField>
    <cacheField name="OrderDate" numFmtId="14">
      <sharedItems containsSemiMixedTypes="0" containsNonDate="0" containsDate="1" containsString="0" minDate="2025-01-01T00:00:00" maxDate="2025-03-26T00:00:00"/>
    </cacheField>
    <cacheField name="ProductID" numFmtId="0">
      <sharedItems/>
    </cacheField>
    <cacheField name="Quantity" numFmtId="0">
      <sharedItems containsSemiMixedTypes="0" containsString="0" containsNumber="1" containsInteger="1" minValue="1" maxValue="22"/>
    </cacheField>
    <cacheField name="SalesAmount" numFmtId="0">
      <sharedItems containsSemiMixedTypes="0" containsString="0" containsNumber="1" containsInteger="1" minValue="900" maxValue="220000"/>
    </cacheField>
    <cacheField name="Month" numFmtId="0">
      <sharedItems count="3">
        <s v="January"/>
        <s v="February"/>
        <s v="March"/>
      </sharedItems>
    </cacheField>
    <cacheField name="WeekDay"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21.45546041667" createdVersion="8" refreshedVersion="8" minRefreshableVersion="3" recordCount="30" xr:uid="{8E7EA5B4-01B0-4873-B03A-ECBA8DE8FEC7}">
  <cacheSource type="worksheet">
    <worksheetSource name="Table13"/>
  </cacheSource>
  <cacheFields count="7">
    <cacheField name="OrderID" numFmtId="0">
      <sharedItems/>
    </cacheField>
    <cacheField name="OrderDate" numFmtId="14">
      <sharedItems containsSemiMixedTypes="0" containsNonDate="0" containsDate="1" containsString="0" minDate="2025-01-01T00:00:00" maxDate="2025-03-26T00:00:00" count="25">
        <d v="2025-01-01T00:00:00"/>
        <d v="2025-01-09T00:00:00"/>
        <d v="2025-01-10T00:00:00"/>
        <d v="2025-01-11T00:00:00"/>
        <d v="2025-01-12T00:00:00"/>
        <d v="2025-01-17T00:00:00"/>
        <d v="2025-02-02T00:00:00"/>
        <d v="2025-02-04T00:00:00"/>
        <d v="2025-02-05T00:00:00"/>
        <d v="2025-02-08T00:00:00"/>
        <d v="2025-02-11T00:00:00"/>
        <d v="2025-02-12T00:00:00"/>
        <d v="2025-02-16T00:00:00"/>
        <d v="2025-02-20T00:00:00"/>
        <d v="2025-02-22T00:00:00"/>
        <d v="2025-02-24T00:00:00"/>
        <d v="2025-02-27T00:00:00"/>
        <d v="2025-03-01T00:00:00"/>
        <d v="2025-03-03T00:00:00"/>
        <d v="2025-03-04T00:00:00"/>
        <d v="2025-03-10T00:00:00"/>
        <d v="2025-03-19T00:00:00"/>
        <d v="2025-03-21T00:00:00"/>
        <d v="2025-03-24T00:00:00"/>
        <d v="2025-03-25T00:00:00"/>
      </sharedItems>
    </cacheField>
    <cacheField name="ProductID" numFmtId="0">
      <sharedItems/>
    </cacheField>
    <cacheField name="Quantity" numFmtId="0">
      <sharedItems containsSemiMixedTypes="0" containsString="0" containsNumber="1" containsInteger="1" minValue="1" maxValue="22"/>
    </cacheField>
    <cacheField name="SalesAmount" numFmtId="0">
      <sharedItems containsSemiMixedTypes="0" containsString="0" containsNumber="1" containsInteger="1" minValue="900" maxValue="220000"/>
    </cacheField>
    <cacheField name="Month" numFmtId="0">
      <sharedItems/>
    </cacheField>
    <cacheField name="WeekDay" numFmtId="0">
      <sharedItems count="7">
        <s v="Wednesday"/>
        <s v="Thursday"/>
        <s v="Friday"/>
        <s v="Saturday"/>
        <s v="Sunday"/>
        <s v="Tuesday"/>
        <s v="Monday"/>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21.455925347225" createdVersion="8" refreshedVersion="8" minRefreshableVersion="3" recordCount="30" xr:uid="{BF9E9EED-4699-4A69-9851-AAC255B5A07A}">
  <cacheSource type="worksheet">
    <worksheetSource name="Table13"/>
  </cacheSource>
  <cacheFields count="7">
    <cacheField name="OrderID" numFmtId="0">
      <sharedItems/>
    </cacheField>
    <cacheField name="OrderDate" numFmtId="14">
      <sharedItems containsSemiMixedTypes="0" containsNonDate="0" containsDate="1" containsString="0" minDate="2025-01-01T00:00:00" maxDate="2025-03-26T00:00:00"/>
    </cacheField>
    <cacheField name="ProductID" numFmtId="0">
      <sharedItems/>
    </cacheField>
    <cacheField name="Quantity" numFmtId="0">
      <sharedItems containsSemiMixedTypes="0" containsString="0" containsNumber="1" containsInteger="1" minValue="1" maxValue="22"/>
    </cacheField>
    <cacheField name="SalesAmount" numFmtId="0">
      <sharedItems containsSemiMixedTypes="0" containsString="0" containsNumber="1" containsInteger="1" minValue="900" maxValue="220000"/>
    </cacheField>
    <cacheField name="Month" numFmtId="0">
      <sharedItems count="3">
        <s v="January"/>
        <s v="February"/>
        <s v="March"/>
      </sharedItems>
    </cacheField>
    <cacheField name="WeekDay" numFmtId="0">
      <sharedItems count="7">
        <s v="Wednesday"/>
        <s v="Thursday"/>
        <s v="Friday"/>
        <s v="Saturday"/>
        <s v="Sunday"/>
        <s v="Tuesday"/>
        <s v="Monday"/>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0.074987037035" backgroundQuery="1" createdVersion="8" refreshedVersion="8" minRefreshableVersion="3" recordCount="0" supportSubquery="1" supportAdvancedDrill="1" xr:uid="{ACF59144-4933-41AB-9706-C9E260453152}">
  <cacheSource type="external" connectionId="1"/>
  <cacheFields count="3">
    <cacheField name="[Measures].[Sum of SalesAmount]" caption="Sum of SalesAmount" numFmtId="0" hierarchy="24" level="32767"/>
    <cacheField name="[Measures].[Count of ProductID 2]" caption="Count of ProductID 2" numFmtId="0" hierarchy="28" level="32767"/>
    <cacheField name="[Table5].[RegionName].[RegionName]" caption="RegionName" numFmtId="0" hierarchy="18" level="1">
      <sharedItems containsSemiMixedTypes="0" containsNonDate="0" containsString="0"/>
    </cacheField>
  </cacheFields>
  <cacheHierarchies count="33">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ProductID]" caption="ProductID" attribute="1" defaultMemberUniqueName="[Table1].[ProductID].[All]" allUniqueName="[Table1].[Product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3].[OrderID]" caption="OrderID" attribute="1" defaultMemberUniqueName="[Table13].[OrderID].[All]" allUniqueName="[Table13].[OrderID].[All]" dimensionUniqueName="[Table13]" displayFolder="" count="0" memberValueDatatype="130" unbalanced="0"/>
    <cacheHierarchy uniqueName="[Table13].[OrderDate]" caption="OrderDate" attribute="1" time="1" defaultMemberUniqueName="[Table13].[OrderDate].[All]" allUniqueName="[Table13].[OrderDate].[All]" dimensionUniqueName="[Table13]" displayFolder="" count="0" memberValueDatatype="7" unbalanced="0"/>
    <cacheHierarchy uniqueName="[Table13].[ProductID]" caption="ProductID" attribute="1" defaultMemberUniqueName="[Table13].[ProductID].[All]" allUniqueName="[Table13].[ProductID].[All]" dimensionUniqueName="[Table13]" displayFolder="" count="0" memberValueDatatype="130" unbalanced="0"/>
    <cacheHierarchy uniqueName="[Table13].[Quantity]" caption="Quantity" attribute="1" defaultMemberUniqueName="[Table13].[Quantity].[All]" allUniqueName="[Table13].[Quantity].[All]" dimensionUniqueName="[Table13]" displayFolder="" count="0" memberValueDatatype="20" unbalanced="0"/>
    <cacheHierarchy uniqueName="[Table13].[SalesAmount]" caption="SalesAmount" attribute="1" defaultMemberUniqueName="[Table13].[SalesAmount].[All]" allUniqueName="[Table13].[SalesAmount].[All]" dimensionUniqueName="[Table13]" displayFolder="" count="0" memberValueDatatype="20" unbalanced="0"/>
    <cacheHierarchy uniqueName="[Table13].[Month]" caption="Month" attribute="1" defaultMemberUniqueName="[Table13].[Month].[All]" allUniqueName="[Table13].[Month].[All]" dimensionUniqueName="[Table13]" displayFolder="" count="0" memberValueDatatype="130" unbalanced="0"/>
    <cacheHierarchy uniqueName="[Table13].[WeekDay]" caption="WeekDay" attribute="1" defaultMemberUniqueName="[Table13].[WeekDay].[All]" allUniqueName="[Table13].[WeekDay].[All]" dimensionUniqueName="[Table13]" displayFolder="" count="0" memberValueDatatype="130" unbalanced="0"/>
    <cacheHierarchy uniqueName="[Table3].[ProductID]" caption="ProductID" attribute="1" defaultMemberUniqueName="[Table3].[ProductID].[All]" allUniqueName="[Table3].[ProductID].[All]" dimensionUniqueName="[Table3]" displayFolder="" count="0" memberValueDatatype="130" unbalanced="0"/>
    <cacheHierarchy uniqueName="[Table3].[ProductName]" caption="ProductName" attribute="1" defaultMemberUniqueName="[Table3].[ProductName].[All]" allUniqueName="[Table3].[ProductName].[All]" dimensionUniqueName="[Table3]" displayFolder="" count="0" memberValueDatatype="130" unbalanced="0"/>
    <cacheHierarchy uniqueName="[Table3].[Category]" caption="Category" attribute="1" defaultMemberUniqueName="[Table3].[Category].[All]" allUniqueName="[Table3].[Category].[All]" dimensionUniqueName="[Table3]" displayFolder="" count="2" memberValueDatatype="130" unbalanced="0"/>
    <cacheHierarchy uniqueName="[Table5].[RegionID]" caption="RegionID" attribute="1" defaultMemberUniqueName="[Table5].[RegionID].[All]" allUniqueName="[Table5].[RegionID].[All]" dimensionUniqueName="[Table5]" displayFolder="" count="0" memberValueDatatype="130" unbalanced="0"/>
    <cacheHierarchy uniqueName="[Table5].[RegionName]" caption="RegionName" attribute="1" defaultMemberUniqueName="[Table5].[RegionName].[All]" allUniqueName="[Table5].[RegionName].[All]" dimensionUniqueName="[Table5]"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able13]" caption="__XL_Count Table13" measure="1" displayFolder="" measureGroup="Table13"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SalesAmount]" caption="Sum of SalesAmount"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Average of SalesAmount]" caption="Average of SalesAmount" measure="1" displayFolder="" measureGroup="Table1" count="0" hidden="1">
      <extLst>
        <ext xmlns:x15="http://schemas.microsoft.com/office/spreadsheetml/2010/11/main" uri="{B97F6D7D-B522-45F9-BDA1-12C45D357490}">
          <x15:cacheHierarchy aggregatedColumn="4"/>
        </ext>
      </extLst>
    </cacheHierarchy>
    <cacheHierarchy uniqueName="[Measures].[Count of RegionName]" caption="Count of RegionName" measure="1" displayFolder="" measureGroup="Table5" count="0" hidden="1">
      <extLst>
        <ext xmlns:x15="http://schemas.microsoft.com/office/spreadsheetml/2010/11/main" uri="{B97F6D7D-B522-45F9-BDA1-12C45D357490}">
          <x15:cacheHierarchy aggregatedColumn="18"/>
        </ext>
      </extLst>
    </cacheHierarchy>
    <cacheHierarchy uniqueName="[Measures].[Count of ProductID]" caption="Count of ProductID" measure="1" displayFolder="" measureGroup="Table3" count="0" hidden="1">
      <extLst>
        <ext xmlns:x15="http://schemas.microsoft.com/office/spreadsheetml/2010/11/main" uri="{B97F6D7D-B522-45F9-BDA1-12C45D357490}">
          <x15:cacheHierarchy aggregatedColumn="14"/>
        </ext>
      </extLst>
    </cacheHierarchy>
    <cacheHierarchy uniqueName="[Measures].[Count of ProductID 2]" caption="Count of ProductID 2"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WeekDay]" caption="Count of WeekDay" measure="1" displayFolder="" measureGroup="Table1"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SalesAmount]" caption="Count of SalesAmount" measure="1" displayFolder="" measureGroup="Table1"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Table1" uniqueName="[Table1]" caption="Table1"/>
    <dimension name="Table13" uniqueName="[Table13]" caption="Table13"/>
    <dimension name="Table3" uniqueName="[Table3]" caption="Table3"/>
    <dimension name="Table5" uniqueName="[Table5]" caption="Table5"/>
  </dimensions>
  <measureGroups count="4">
    <measureGroup name="Table1" caption="Table1"/>
    <measureGroup name="Table13" caption="Table13"/>
    <measureGroup name="Table3" caption="Table3"/>
    <measureGroup name="Table5" caption="Table5"/>
  </measureGroups>
  <maps count="6">
    <map measureGroup="0" dimension="1"/>
    <map measureGroup="0" dimension="2"/>
    <map measureGroup="0" dimension="3"/>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0.074986458334" backgroundQuery="1" createdVersion="8" refreshedVersion="8" minRefreshableVersion="3" recordCount="0" supportSubquery="1" supportAdvancedDrill="1" xr:uid="{D8310C9B-69FE-4C25-8DE4-BA189193D661}">
  <cacheSource type="external" connectionId="1"/>
  <cacheFields count="3">
    <cacheField name="[Table3].[ProductName].[ProductName]" caption="ProductName" numFmtId="0" hierarchy="15" level="1">
      <sharedItems count="5">
        <s v="Desk"/>
        <s v="Jacket"/>
        <s v="Jeans"/>
        <s v="Laptop"/>
        <s v="Office Chair"/>
      </sharedItems>
    </cacheField>
    <cacheField name="[Measures].[Sum of SalesAmount]" caption="Sum of SalesAmount" numFmtId="0" hierarchy="24" level="32767"/>
    <cacheField name="[Table5].[RegionName].[RegionName]" caption="RegionName" numFmtId="0" hierarchy="18" level="1">
      <sharedItems containsSemiMixedTypes="0" containsNonDate="0" containsString="0"/>
    </cacheField>
  </cacheFields>
  <cacheHierarchies count="33">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ProductID]" caption="ProductID" attribute="1" defaultMemberUniqueName="[Table1].[ProductID].[All]" allUniqueName="[Table1].[Product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3].[OrderID]" caption="OrderID" attribute="1" defaultMemberUniqueName="[Table13].[OrderID].[All]" allUniqueName="[Table13].[OrderID].[All]" dimensionUniqueName="[Table13]" displayFolder="" count="0" memberValueDatatype="130" unbalanced="0"/>
    <cacheHierarchy uniqueName="[Table13].[OrderDate]" caption="OrderDate" attribute="1" time="1" defaultMemberUniqueName="[Table13].[OrderDate].[All]" allUniqueName="[Table13].[OrderDate].[All]" dimensionUniqueName="[Table13]" displayFolder="" count="0" memberValueDatatype="7" unbalanced="0"/>
    <cacheHierarchy uniqueName="[Table13].[ProductID]" caption="ProductID" attribute="1" defaultMemberUniqueName="[Table13].[ProductID].[All]" allUniqueName="[Table13].[ProductID].[All]" dimensionUniqueName="[Table13]" displayFolder="" count="0" memberValueDatatype="130" unbalanced="0"/>
    <cacheHierarchy uniqueName="[Table13].[Quantity]" caption="Quantity" attribute="1" defaultMemberUniqueName="[Table13].[Quantity].[All]" allUniqueName="[Table13].[Quantity].[All]" dimensionUniqueName="[Table13]" displayFolder="" count="0" memberValueDatatype="20" unbalanced="0"/>
    <cacheHierarchy uniqueName="[Table13].[SalesAmount]" caption="SalesAmount" attribute="1" defaultMemberUniqueName="[Table13].[SalesAmount].[All]" allUniqueName="[Table13].[SalesAmount].[All]" dimensionUniqueName="[Table13]" displayFolder="" count="0" memberValueDatatype="20" unbalanced="0"/>
    <cacheHierarchy uniqueName="[Table13].[Month]" caption="Month" attribute="1" defaultMemberUniqueName="[Table13].[Month].[All]" allUniqueName="[Table13].[Month].[All]" dimensionUniqueName="[Table13]" displayFolder="" count="0" memberValueDatatype="130" unbalanced="0"/>
    <cacheHierarchy uniqueName="[Table13].[WeekDay]" caption="WeekDay" attribute="1" defaultMemberUniqueName="[Table13].[WeekDay].[All]" allUniqueName="[Table13].[WeekDay].[All]" dimensionUniqueName="[Table13]" displayFolder="" count="0" memberValueDatatype="130" unbalanced="0"/>
    <cacheHierarchy uniqueName="[Table3].[ProductID]" caption="ProductID" attribute="1" defaultMemberUniqueName="[Table3].[ProductID].[All]" allUniqueName="[Table3].[ProductID].[All]" dimensionUniqueName="[Table3]" displayFolder="" count="0" memberValueDatatype="130" unbalanced="0"/>
    <cacheHierarchy uniqueName="[Table3].[ProductName]" caption="ProductName" attribute="1" defaultMemberUniqueName="[Table3].[ProductName].[All]" allUniqueName="[Table3].[ProductName].[All]" dimensionUniqueName="[Table3]" displayFolder="" count="2" memberValueDatatype="130" unbalanced="0">
      <fieldsUsage count="2">
        <fieldUsage x="-1"/>
        <fieldUsage x="0"/>
      </fieldsUsage>
    </cacheHierarchy>
    <cacheHierarchy uniqueName="[Table3].[Category]" caption="Category" attribute="1" defaultMemberUniqueName="[Table3].[Category].[All]" allUniqueName="[Table3].[Category].[All]" dimensionUniqueName="[Table3]" displayFolder="" count="2" memberValueDatatype="130" unbalanced="0"/>
    <cacheHierarchy uniqueName="[Table5].[RegionID]" caption="RegionID" attribute="1" defaultMemberUniqueName="[Table5].[RegionID].[All]" allUniqueName="[Table5].[RegionID].[All]" dimensionUniqueName="[Table5]" displayFolder="" count="0" memberValueDatatype="130" unbalanced="0"/>
    <cacheHierarchy uniqueName="[Table5].[RegionName]" caption="RegionName" attribute="1" defaultMemberUniqueName="[Table5].[RegionName].[All]" allUniqueName="[Table5].[RegionName].[All]" dimensionUniqueName="[Table5]"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able13]" caption="__XL_Count Table13" measure="1" displayFolder="" measureGroup="Table13"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SalesAmount]" caption="Sum of SalesAmount"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SalesAmount]" caption="Average of SalesAmount" measure="1" displayFolder="" measureGroup="Table1" count="0" hidden="1">
      <extLst>
        <ext xmlns:x15="http://schemas.microsoft.com/office/spreadsheetml/2010/11/main" uri="{B97F6D7D-B522-45F9-BDA1-12C45D357490}">
          <x15:cacheHierarchy aggregatedColumn="4"/>
        </ext>
      </extLst>
    </cacheHierarchy>
    <cacheHierarchy uniqueName="[Measures].[Count of RegionName]" caption="Count of RegionName" measure="1" displayFolder="" measureGroup="Table5" count="0" hidden="1">
      <extLst>
        <ext xmlns:x15="http://schemas.microsoft.com/office/spreadsheetml/2010/11/main" uri="{B97F6D7D-B522-45F9-BDA1-12C45D357490}">
          <x15:cacheHierarchy aggregatedColumn="18"/>
        </ext>
      </extLst>
    </cacheHierarchy>
    <cacheHierarchy uniqueName="[Measures].[Count of ProductID]" caption="Count of ProductID" measure="1" displayFolder="" measureGroup="Table3" count="0" hidden="1">
      <extLst>
        <ext xmlns:x15="http://schemas.microsoft.com/office/spreadsheetml/2010/11/main" uri="{B97F6D7D-B522-45F9-BDA1-12C45D357490}">
          <x15:cacheHierarchy aggregatedColumn="14"/>
        </ext>
      </extLst>
    </cacheHierarchy>
    <cacheHierarchy uniqueName="[Measures].[Count of ProductID 2]" caption="Count of ProductID 2" measure="1" displayFolder="" measureGroup="Table1" count="0" hidden="1">
      <extLst>
        <ext xmlns:x15="http://schemas.microsoft.com/office/spreadsheetml/2010/11/main" uri="{B97F6D7D-B522-45F9-BDA1-12C45D357490}">
          <x15:cacheHierarchy aggregatedColumn="2"/>
        </ext>
      </extLst>
    </cacheHierarchy>
    <cacheHierarchy uniqueName="[Measures].[Count of WeekDay]" caption="Count of WeekDay" measure="1" displayFolder="" measureGroup="Table1"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SalesAmount]" caption="Count of SalesAmount" measure="1" displayFolder="" measureGroup="Table1"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Table1" uniqueName="[Table1]" caption="Table1"/>
    <dimension name="Table13" uniqueName="[Table13]" caption="Table13"/>
    <dimension name="Table3" uniqueName="[Table3]" caption="Table3"/>
    <dimension name="Table5" uniqueName="[Table5]" caption="Table5"/>
  </dimensions>
  <measureGroups count="4">
    <measureGroup name="Table1" caption="Table1"/>
    <measureGroup name="Table13" caption="Table13"/>
    <measureGroup name="Table3" caption="Table3"/>
    <measureGroup name="Table5" caption="Table5"/>
  </measureGroups>
  <maps count="6">
    <map measureGroup="0" dimension="1"/>
    <map measureGroup="0" dimension="2"/>
    <map measureGroup="0" dimension="3"/>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0.074985879626" backgroundQuery="1" createdVersion="8" refreshedVersion="8" minRefreshableVersion="3" recordCount="0" supportSubquery="1" supportAdvancedDrill="1" xr:uid="{A89D5F7D-E536-4F82-BD21-8CB4EE677EEE}">
  <cacheSource type="external" connectionId="1"/>
  <cacheFields count="4">
    <cacheField name="[Table3].[ProductName].[ProductName]" caption="ProductName" numFmtId="0" hierarchy="15" level="1">
      <sharedItems count="19">
        <s v="Backpack"/>
        <s v="Bedsheet"/>
        <s v="Coffee Maker"/>
        <s v="Desk"/>
        <s v="Desk Organizer"/>
        <s v="Formal Shirt"/>
        <s v="Headphones"/>
        <s v="Jacket"/>
        <s v="Jeans"/>
        <s v="Keyboard"/>
        <s v="Laptop"/>
        <s v="Monitor"/>
        <s v="Notebook"/>
        <s v="Office Chair"/>
        <s v="Sneakers"/>
        <s v="Table Lamp"/>
        <s v="T-Shirt"/>
        <s v="Water Bottle"/>
        <s v="Wireless Mouse"/>
      </sharedItems>
    </cacheField>
    <cacheField name="[Measures].[Sum of SalesAmount]" caption="Sum of SalesAmount" numFmtId="0" hierarchy="24" level="32767"/>
    <cacheField name="[Measures].[Count of ProductID 2]" caption="Count of ProductID 2" numFmtId="0" hierarchy="28" level="32767"/>
    <cacheField name="[Table5].[RegionName].[RegionName]" caption="RegionName" numFmtId="0" hierarchy="18" level="1">
      <sharedItems containsSemiMixedTypes="0" containsNonDate="0" containsString="0"/>
    </cacheField>
  </cacheFields>
  <cacheHierarchies count="33">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ProductID]" caption="ProductID" attribute="1" defaultMemberUniqueName="[Table1].[ProductID].[All]" allUniqueName="[Table1].[Product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3].[OrderID]" caption="OrderID" attribute="1" defaultMemberUniqueName="[Table13].[OrderID].[All]" allUniqueName="[Table13].[OrderID].[All]" dimensionUniqueName="[Table13]" displayFolder="" count="0" memberValueDatatype="130" unbalanced="0"/>
    <cacheHierarchy uniqueName="[Table13].[OrderDate]" caption="OrderDate" attribute="1" time="1" defaultMemberUniqueName="[Table13].[OrderDate].[All]" allUniqueName="[Table13].[OrderDate].[All]" dimensionUniqueName="[Table13]" displayFolder="" count="0" memberValueDatatype="7" unbalanced="0"/>
    <cacheHierarchy uniqueName="[Table13].[ProductID]" caption="ProductID" attribute="1" defaultMemberUniqueName="[Table13].[ProductID].[All]" allUniqueName="[Table13].[ProductID].[All]" dimensionUniqueName="[Table13]" displayFolder="" count="0" memberValueDatatype="130" unbalanced="0"/>
    <cacheHierarchy uniqueName="[Table13].[Quantity]" caption="Quantity" attribute="1" defaultMemberUniqueName="[Table13].[Quantity].[All]" allUniqueName="[Table13].[Quantity].[All]" dimensionUniqueName="[Table13]" displayFolder="" count="0" memberValueDatatype="20" unbalanced="0"/>
    <cacheHierarchy uniqueName="[Table13].[SalesAmount]" caption="SalesAmount" attribute="1" defaultMemberUniqueName="[Table13].[SalesAmount].[All]" allUniqueName="[Table13].[SalesAmount].[All]" dimensionUniqueName="[Table13]" displayFolder="" count="0" memberValueDatatype="20" unbalanced="0"/>
    <cacheHierarchy uniqueName="[Table13].[Month]" caption="Month" attribute="1" defaultMemberUniqueName="[Table13].[Month].[All]" allUniqueName="[Table13].[Month].[All]" dimensionUniqueName="[Table13]" displayFolder="" count="0" memberValueDatatype="130" unbalanced="0"/>
    <cacheHierarchy uniqueName="[Table13].[WeekDay]" caption="WeekDay" attribute="1" defaultMemberUniqueName="[Table13].[WeekDay].[All]" allUniqueName="[Table13].[WeekDay].[All]" dimensionUniqueName="[Table13]" displayFolder="" count="0" memberValueDatatype="130" unbalanced="0"/>
    <cacheHierarchy uniqueName="[Table3].[ProductID]" caption="ProductID" attribute="1" defaultMemberUniqueName="[Table3].[ProductID].[All]" allUniqueName="[Table3].[ProductID].[All]" dimensionUniqueName="[Table3]" displayFolder="" count="0" memberValueDatatype="130" unbalanced="0"/>
    <cacheHierarchy uniqueName="[Table3].[ProductName]" caption="ProductName" attribute="1" defaultMemberUniqueName="[Table3].[ProductName].[All]" allUniqueName="[Table3].[ProductName].[All]" dimensionUniqueName="[Table3]" displayFolder="" count="2" memberValueDatatype="130" unbalanced="0">
      <fieldsUsage count="2">
        <fieldUsage x="-1"/>
        <fieldUsage x="0"/>
      </fieldsUsage>
    </cacheHierarchy>
    <cacheHierarchy uniqueName="[Table3].[Category]" caption="Category" attribute="1" defaultMemberUniqueName="[Table3].[Category].[All]" allUniqueName="[Table3].[Category].[All]" dimensionUniqueName="[Table3]" displayFolder="" count="2" memberValueDatatype="130" unbalanced="0"/>
    <cacheHierarchy uniqueName="[Table5].[RegionID]" caption="RegionID" attribute="1" defaultMemberUniqueName="[Table5].[RegionID].[All]" allUniqueName="[Table5].[RegionID].[All]" dimensionUniqueName="[Table5]" displayFolder="" count="0" memberValueDatatype="130" unbalanced="0"/>
    <cacheHierarchy uniqueName="[Table5].[RegionName]" caption="RegionName" attribute="1" defaultMemberUniqueName="[Table5].[RegionName].[All]" allUniqueName="[Table5].[RegionName].[All]" dimensionUniqueName="[Table5]" displayFolder="" count="2" memberValueDatatype="130" unbalanced="0">
      <fieldsUsage count="2">
        <fieldUsage x="-1"/>
        <fieldUsage x="3"/>
      </fieldsUsage>
    </cacheHierarchy>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able13]" caption="__XL_Count Table13" measure="1" displayFolder="" measureGroup="Table13"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SalesAmount]" caption="Sum of SalesAmount"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SalesAmount]" caption="Average of SalesAmount" measure="1" displayFolder="" measureGroup="Table1" count="0" hidden="1">
      <extLst>
        <ext xmlns:x15="http://schemas.microsoft.com/office/spreadsheetml/2010/11/main" uri="{B97F6D7D-B522-45F9-BDA1-12C45D357490}">
          <x15:cacheHierarchy aggregatedColumn="4"/>
        </ext>
      </extLst>
    </cacheHierarchy>
    <cacheHierarchy uniqueName="[Measures].[Count of RegionName]" caption="Count of RegionName" measure="1" displayFolder="" measureGroup="Table5" count="0" hidden="1">
      <extLst>
        <ext xmlns:x15="http://schemas.microsoft.com/office/spreadsheetml/2010/11/main" uri="{B97F6D7D-B522-45F9-BDA1-12C45D357490}">
          <x15:cacheHierarchy aggregatedColumn="18"/>
        </ext>
      </extLst>
    </cacheHierarchy>
    <cacheHierarchy uniqueName="[Measures].[Count of ProductID]" caption="Count of ProductID" measure="1" displayFolder="" measureGroup="Table3" count="0" hidden="1">
      <extLst>
        <ext xmlns:x15="http://schemas.microsoft.com/office/spreadsheetml/2010/11/main" uri="{B97F6D7D-B522-45F9-BDA1-12C45D357490}">
          <x15:cacheHierarchy aggregatedColumn="14"/>
        </ext>
      </extLst>
    </cacheHierarchy>
    <cacheHierarchy uniqueName="[Measures].[Count of ProductID 2]" caption="Count of ProductID 2" measure="1" displayFolder="" measureGroup="Table1" count="0" oneField="1" hidden="1">
      <fieldsUsage count="1">
        <fieldUsage x="2"/>
      </fieldsUsage>
      <extLst>
        <ext xmlns:x15="http://schemas.microsoft.com/office/spreadsheetml/2010/11/main" uri="{B97F6D7D-B522-45F9-BDA1-12C45D357490}">
          <x15:cacheHierarchy aggregatedColumn="2"/>
        </ext>
      </extLst>
    </cacheHierarchy>
    <cacheHierarchy uniqueName="[Measures].[Count of WeekDay]" caption="Count of WeekDay" measure="1" displayFolder="" measureGroup="Table1"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SalesAmount]" caption="Count of SalesAmount" measure="1" displayFolder="" measureGroup="Table1"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Table1" uniqueName="[Table1]" caption="Table1"/>
    <dimension name="Table13" uniqueName="[Table13]" caption="Table13"/>
    <dimension name="Table3" uniqueName="[Table3]" caption="Table3"/>
    <dimension name="Table5" uniqueName="[Table5]" caption="Table5"/>
  </dimensions>
  <measureGroups count="4">
    <measureGroup name="Table1" caption="Table1"/>
    <measureGroup name="Table13" caption="Table13"/>
    <measureGroup name="Table3" caption="Table3"/>
    <measureGroup name="Table5" caption="Table5"/>
  </measureGroups>
  <maps count="6">
    <map measureGroup="0" dimension="1"/>
    <map measureGroup="0" dimension="2"/>
    <map measureGroup="0" dimension="3"/>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0.074987731481" backgroundQuery="1" createdVersion="8" refreshedVersion="8" minRefreshableVersion="3" recordCount="0" supportSubquery="1" supportAdvancedDrill="1" xr:uid="{40A2E7B0-DA8C-439F-8DDC-C883C5563A36}">
  <cacheSource type="external" connectionId="1"/>
  <cacheFields count="3">
    <cacheField name="[Measures].[Sum of SalesAmount]" caption="Sum of SalesAmount" numFmtId="0" hierarchy="24" level="32767"/>
    <cacheField name="[Table3].[ProductName].[ProductName]" caption="ProductName" numFmtId="0" hierarchy="15" level="1">
      <sharedItems count="19">
        <s v="Backpack"/>
        <s v="Bedsheet"/>
        <s v="Coffee Maker"/>
        <s v="Desk"/>
        <s v="Desk Organizer"/>
        <s v="Formal Shirt"/>
        <s v="Headphones"/>
        <s v="Jacket"/>
        <s v="Jeans"/>
        <s v="Keyboard"/>
        <s v="Laptop"/>
        <s v="Monitor"/>
        <s v="Notebook"/>
        <s v="Office Chair"/>
        <s v="Sneakers"/>
        <s v="Table Lamp"/>
        <s v="T-Shirt"/>
        <s v="Water Bottle"/>
        <s v="Wireless Mouse"/>
      </sharedItems>
    </cacheField>
    <cacheField name="[Table5].[RegionName].[RegionName]" caption="RegionName" numFmtId="0" hierarchy="18" level="1">
      <sharedItems containsSemiMixedTypes="0" containsNonDate="0" containsString="0"/>
    </cacheField>
  </cacheFields>
  <cacheHierarchies count="33">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ProductID]" caption="ProductID" attribute="1" defaultMemberUniqueName="[Table1].[ProductID].[All]" allUniqueName="[Table1].[Product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3].[OrderID]" caption="OrderID" attribute="1" defaultMemberUniqueName="[Table13].[OrderID].[All]" allUniqueName="[Table13].[OrderID].[All]" dimensionUniqueName="[Table13]" displayFolder="" count="0" memberValueDatatype="130" unbalanced="0"/>
    <cacheHierarchy uniqueName="[Table13].[OrderDate]" caption="OrderDate" attribute="1" time="1" defaultMemberUniqueName="[Table13].[OrderDate].[All]" allUniqueName="[Table13].[OrderDate].[All]" dimensionUniqueName="[Table13]" displayFolder="" count="0" memberValueDatatype="7" unbalanced="0"/>
    <cacheHierarchy uniqueName="[Table13].[ProductID]" caption="ProductID" attribute="1" defaultMemberUniqueName="[Table13].[ProductID].[All]" allUniqueName="[Table13].[ProductID].[All]" dimensionUniqueName="[Table13]" displayFolder="" count="0" memberValueDatatype="130" unbalanced="0"/>
    <cacheHierarchy uniqueName="[Table13].[Quantity]" caption="Quantity" attribute="1" defaultMemberUniqueName="[Table13].[Quantity].[All]" allUniqueName="[Table13].[Quantity].[All]" dimensionUniqueName="[Table13]" displayFolder="" count="0" memberValueDatatype="20" unbalanced="0"/>
    <cacheHierarchy uniqueName="[Table13].[SalesAmount]" caption="SalesAmount" attribute="1" defaultMemberUniqueName="[Table13].[SalesAmount].[All]" allUniqueName="[Table13].[SalesAmount].[All]" dimensionUniqueName="[Table13]" displayFolder="" count="0" memberValueDatatype="20" unbalanced="0"/>
    <cacheHierarchy uniqueName="[Table13].[Month]" caption="Month" attribute="1" defaultMemberUniqueName="[Table13].[Month].[All]" allUniqueName="[Table13].[Month].[All]" dimensionUniqueName="[Table13]" displayFolder="" count="0" memberValueDatatype="130" unbalanced="0"/>
    <cacheHierarchy uniqueName="[Table13].[WeekDay]" caption="WeekDay" attribute="1" defaultMemberUniqueName="[Table13].[WeekDay].[All]" allUniqueName="[Table13].[WeekDay].[All]" dimensionUniqueName="[Table13]" displayFolder="" count="0" memberValueDatatype="130" unbalanced="0"/>
    <cacheHierarchy uniqueName="[Table3].[ProductID]" caption="ProductID" attribute="1" defaultMemberUniqueName="[Table3].[ProductID].[All]" allUniqueName="[Table3].[ProductID].[All]" dimensionUniqueName="[Table3]" displayFolder="" count="0" memberValueDatatype="130" unbalanced="0"/>
    <cacheHierarchy uniqueName="[Table3].[ProductName]" caption="ProductName" attribute="1" defaultMemberUniqueName="[Table3].[ProductName].[All]" allUniqueName="[Table3].[ProductName].[All]" dimensionUniqueName="[Table3]" displayFolder="" count="2" memberValueDatatype="130" unbalanced="0">
      <fieldsUsage count="2">
        <fieldUsage x="-1"/>
        <fieldUsage x="1"/>
      </fieldsUsage>
    </cacheHierarchy>
    <cacheHierarchy uniqueName="[Table3].[Category]" caption="Category" attribute="1" defaultMemberUniqueName="[Table3].[Category].[All]" allUniqueName="[Table3].[Category].[All]" dimensionUniqueName="[Table3]" displayFolder="" count="2" memberValueDatatype="130" unbalanced="0"/>
    <cacheHierarchy uniqueName="[Table5].[RegionID]" caption="RegionID" attribute="1" defaultMemberUniqueName="[Table5].[RegionID].[All]" allUniqueName="[Table5].[RegionID].[All]" dimensionUniqueName="[Table5]" displayFolder="" count="0" memberValueDatatype="130" unbalanced="0"/>
    <cacheHierarchy uniqueName="[Table5].[RegionName]" caption="RegionName" attribute="1" defaultMemberUniqueName="[Table5].[RegionName].[All]" allUniqueName="[Table5].[RegionName].[All]" dimensionUniqueName="[Table5]"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able13]" caption="__XL_Count Table13" measure="1" displayFolder="" measureGroup="Table13"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SalesAmount]" caption="Sum of SalesAmount"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Average of SalesAmount]" caption="Average of SalesAmount" measure="1" displayFolder="" measureGroup="Table1" count="0" hidden="1">
      <extLst>
        <ext xmlns:x15="http://schemas.microsoft.com/office/spreadsheetml/2010/11/main" uri="{B97F6D7D-B522-45F9-BDA1-12C45D357490}">
          <x15:cacheHierarchy aggregatedColumn="4"/>
        </ext>
      </extLst>
    </cacheHierarchy>
    <cacheHierarchy uniqueName="[Measures].[Count of RegionName]" caption="Count of RegionName" measure="1" displayFolder="" measureGroup="Table5" count="0" hidden="1">
      <extLst>
        <ext xmlns:x15="http://schemas.microsoft.com/office/spreadsheetml/2010/11/main" uri="{B97F6D7D-B522-45F9-BDA1-12C45D357490}">
          <x15:cacheHierarchy aggregatedColumn="18"/>
        </ext>
      </extLst>
    </cacheHierarchy>
    <cacheHierarchy uniqueName="[Measures].[Count of ProductID]" caption="Count of ProductID" measure="1" displayFolder="" measureGroup="Table3" count="0" hidden="1">
      <extLst>
        <ext xmlns:x15="http://schemas.microsoft.com/office/spreadsheetml/2010/11/main" uri="{B97F6D7D-B522-45F9-BDA1-12C45D357490}">
          <x15:cacheHierarchy aggregatedColumn="14"/>
        </ext>
      </extLst>
    </cacheHierarchy>
    <cacheHierarchy uniqueName="[Measures].[Count of ProductID 2]" caption="Count of ProductID 2" measure="1" displayFolder="" measureGroup="Table1" count="0" hidden="1">
      <extLst>
        <ext xmlns:x15="http://schemas.microsoft.com/office/spreadsheetml/2010/11/main" uri="{B97F6D7D-B522-45F9-BDA1-12C45D357490}">
          <x15:cacheHierarchy aggregatedColumn="2"/>
        </ext>
      </extLst>
    </cacheHierarchy>
    <cacheHierarchy uniqueName="[Measures].[Count of WeekDay]" caption="Count of WeekDay" measure="1" displayFolder="" measureGroup="Table1"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SalesAmount]" caption="Count of SalesAmount" measure="1" displayFolder="" measureGroup="Table1"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Table1" uniqueName="[Table1]" caption="Table1"/>
    <dimension name="Table13" uniqueName="[Table13]" caption="Table13"/>
    <dimension name="Table3" uniqueName="[Table3]" caption="Table3"/>
    <dimension name="Table5" uniqueName="[Table5]" caption="Table5"/>
  </dimensions>
  <measureGroups count="4">
    <measureGroup name="Table1" caption="Table1"/>
    <measureGroup name="Table13" caption="Table13"/>
    <measureGroup name="Table3" caption="Table3"/>
    <measureGroup name="Table5" caption="Table5"/>
  </measureGroups>
  <maps count="6">
    <map measureGroup="0" dimension="1"/>
    <map measureGroup="0" dimension="2"/>
    <map measureGroup="0" dimension="3"/>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4.235809606478" backgroundQuery="1" createdVersion="8" refreshedVersion="8" minRefreshableVersion="3" recordCount="0" supportSubquery="1" supportAdvancedDrill="1" xr:uid="{AF7815C6-3CB4-4E9C-95C7-C68532AC62CA}">
  <cacheSource type="external" connectionId="1"/>
  <cacheFields count="5">
    <cacheField name="[Measures].[Sum of SalesAmount]" caption="Sum of SalesAmount" numFmtId="0" hierarchy="24" level="32767"/>
    <cacheField name="[Table5].[RegionName].[RegionName]" caption="RegionName" numFmtId="0" hierarchy="18" level="1">
      <sharedItems containsSemiMixedTypes="0" containsNonDate="0" containsString="0"/>
    </cacheField>
    <cacheField name="[Table1].[Month].[Month]" caption="Month" numFmtId="0" hierarchy="5" level="1">
      <sharedItems count="3">
        <s v="February"/>
        <s v="January"/>
        <s v="March"/>
      </sharedItems>
    </cacheField>
    <cacheField name="[Table1].[WeekDay].[WeekDay]" caption="WeekDay" numFmtId="0" hierarchy="6" level="1">
      <sharedItems count="7">
        <s v="Monday"/>
        <s v="Saturday"/>
        <s v="Sunday"/>
        <s v="Thursday"/>
        <s v="Tuesday"/>
        <s v="Wednesday"/>
        <s v="Friday"/>
      </sharedItems>
    </cacheField>
    <cacheField name="[Measures].[Count of SalesAmount]" caption="Count of SalesAmount" numFmtId="0" hierarchy="32" level="32767"/>
  </cacheFields>
  <cacheHierarchies count="33">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ProductID]" caption="ProductID" attribute="1" defaultMemberUniqueName="[Table1].[ProductID].[All]" allUniqueName="[Table1].[Product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20" unbalanced="0"/>
    <cacheHierarchy uniqueName="[Table1].[Month]" caption="Month" attribute="1" defaultMemberUniqueName="[Table1].[Month].[All]" allUniqueName="[Table1].[Month].[All]" dimensionUniqueName="[Table1]" displayFolder="" count="2" memberValueDatatype="130" unbalanced="0">
      <fieldsUsage count="2">
        <fieldUsage x="-1"/>
        <fieldUsage x="2"/>
      </fieldsUsage>
    </cacheHierarchy>
    <cacheHierarchy uniqueName="[Table1].[WeekDay]" caption="WeekDay" attribute="1" defaultMemberUniqueName="[Table1].[WeekDay].[All]" allUniqueName="[Table1].[WeekDay].[All]" dimensionUniqueName="[Table1]" displayFolder="" count="2" memberValueDatatype="130" unbalanced="0">
      <fieldsUsage count="2">
        <fieldUsage x="-1"/>
        <fieldUsage x="3"/>
      </fieldsUsage>
    </cacheHierarchy>
    <cacheHierarchy uniqueName="[Table13].[OrderID]" caption="OrderID" attribute="1" defaultMemberUniqueName="[Table13].[OrderID].[All]" allUniqueName="[Table13].[OrderID].[All]" dimensionUniqueName="[Table13]" displayFolder="" count="0" memberValueDatatype="130" unbalanced="0"/>
    <cacheHierarchy uniqueName="[Table13].[OrderDate]" caption="OrderDate" attribute="1" time="1" defaultMemberUniqueName="[Table13].[OrderDate].[All]" allUniqueName="[Table13].[OrderDate].[All]" dimensionUniqueName="[Table13]" displayFolder="" count="0" memberValueDatatype="7" unbalanced="0"/>
    <cacheHierarchy uniqueName="[Table13].[ProductID]" caption="ProductID" attribute="1" defaultMemberUniqueName="[Table13].[ProductID].[All]" allUniqueName="[Table13].[ProductID].[All]" dimensionUniqueName="[Table13]" displayFolder="" count="0" memberValueDatatype="130" unbalanced="0"/>
    <cacheHierarchy uniqueName="[Table13].[Quantity]" caption="Quantity" attribute="1" defaultMemberUniqueName="[Table13].[Quantity].[All]" allUniqueName="[Table13].[Quantity].[All]" dimensionUniqueName="[Table13]" displayFolder="" count="0" memberValueDatatype="20" unbalanced="0"/>
    <cacheHierarchy uniqueName="[Table13].[SalesAmount]" caption="SalesAmount" attribute="1" defaultMemberUniqueName="[Table13].[SalesAmount].[All]" allUniqueName="[Table13].[SalesAmount].[All]" dimensionUniqueName="[Table13]" displayFolder="" count="0" memberValueDatatype="20" unbalanced="0"/>
    <cacheHierarchy uniqueName="[Table13].[Month]" caption="Month" attribute="1" defaultMemberUniqueName="[Table13].[Month].[All]" allUniqueName="[Table13].[Month].[All]" dimensionUniqueName="[Table13]" displayFolder="" count="0" memberValueDatatype="130" unbalanced="0"/>
    <cacheHierarchy uniqueName="[Table13].[WeekDay]" caption="WeekDay" attribute="1" defaultMemberUniqueName="[Table13].[WeekDay].[All]" allUniqueName="[Table13].[WeekDay].[All]" dimensionUniqueName="[Table13]" displayFolder="" count="0" memberValueDatatype="130" unbalanced="0"/>
    <cacheHierarchy uniqueName="[Table3].[ProductID]" caption="ProductID" attribute="1" defaultMemberUniqueName="[Table3].[ProductID].[All]" allUniqueName="[Table3].[ProductID].[All]" dimensionUniqueName="[Table3]" displayFolder="" count="0" memberValueDatatype="130" unbalanced="0"/>
    <cacheHierarchy uniqueName="[Table3].[ProductName]" caption="ProductName" attribute="1" defaultMemberUniqueName="[Table3].[ProductName].[All]" allUniqueName="[Table3].[ProductName].[All]" dimensionUniqueName="[Table3]" displayFolder="" count="0" memberValueDatatype="130" unbalanced="0"/>
    <cacheHierarchy uniqueName="[Table3].[Category]" caption="Category" attribute="1" defaultMemberUniqueName="[Table3].[Category].[All]" allUniqueName="[Table3].[Category].[All]" dimensionUniqueName="[Table3]" displayFolder="" count="2" memberValueDatatype="130" unbalanced="0"/>
    <cacheHierarchy uniqueName="[Table5].[RegionID]" caption="RegionID" attribute="1" defaultMemberUniqueName="[Table5].[RegionID].[All]" allUniqueName="[Table5].[RegionID].[All]" dimensionUniqueName="[Table5]" displayFolder="" count="0" memberValueDatatype="130" unbalanced="0"/>
    <cacheHierarchy uniqueName="[Table5].[RegionName]" caption="RegionName" attribute="1" defaultMemberUniqueName="[Table5].[RegionName].[All]" allUniqueName="[Table5].[RegionName].[All]" dimensionUniqueName="[Table5]"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able13]" caption="__XL_Count Table13" measure="1" displayFolder="" measureGroup="Table13"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SalesAmount]" caption="Sum of SalesAmount"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Average of SalesAmount]" caption="Average of SalesAmount" measure="1" displayFolder="" measureGroup="Table1" count="0" hidden="1">
      <extLst>
        <ext xmlns:x15="http://schemas.microsoft.com/office/spreadsheetml/2010/11/main" uri="{B97F6D7D-B522-45F9-BDA1-12C45D357490}">
          <x15:cacheHierarchy aggregatedColumn="4"/>
        </ext>
      </extLst>
    </cacheHierarchy>
    <cacheHierarchy uniqueName="[Measures].[Count of RegionName]" caption="Count of RegionName" measure="1" displayFolder="" measureGroup="Table5" count="0" hidden="1">
      <extLst>
        <ext xmlns:x15="http://schemas.microsoft.com/office/spreadsheetml/2010/11/main" uri="{B97F6D7D-B522-45F9-BDA1-12C45D357490}">
          <x15:cacheHierarchy aggregatedColumn="18"/>
        </ext>
      </extLst>
    </cacheHierarchy>
    <cacheHierarchy uniqueName="[Measures].[Count of ProductID]" caption="Count of ProductID" measure="1" displayFolder="" measureGroup="Table3" count="0" hidden="1">
      <extLst>
        <ext xmlns:x15="http://schemas.microsoft.com/office/spreadsheetml/2010/11/main" uri="{B97F6D7D-B522-45F9-BDA1-12C45D357490}">
          <x15:cacheHierarchy aggregatedColumn="14"/>
        </ext>
      </extLst>
    </cacheHierarchy>
    <cacheHierarchy uniqueName="[Measures].[Count of ProductID 2]" caption="Count of ProductID 2" measure="1" displayFolder="" measureGroup="Table1" count="0" hidden="1">
      <extLst>
        <ext xmlns:x15="http://schemas.microsoft.com/office/spreadsheetml/2010/11/main" uri="{B97F6D7D-B522-45F9-BDA1-12C45D357490}">
          <x15:cacheHierarchy aggregatedColumn="2"/>
        </ext>
      </extLst>
    </cacheHierarchy>
    <cacheHierarchy uniqueName="[Measures].[Count of WeekDay]" caption="Count of WeekDay" measure="1" displayFolder="" measureGroup="Table1"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SalesAmount]" caption="Count of SalesAmount" measure="1" displayFolder="" measureGroup="Table1" count="0" oneField="1" hidden="1">
      <fieldsUsage count="1">
        <fieldUsage x="4"/>
      </fieldsUsage>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Table1" uniqueName="[Table1]" caption="Table1"/>
    <dimension name="Table13" uniqueName="[Table13]" caption="Table13"/>
    <dimension name="Table3" uniqueName="[Table3]" caption="Table3"/>
    <dimension name="Table5" uniqueName="[Table5]" caption="Table5"/>
  </dimensions>
  <measureGroups count="4">
    <measureGroup name="Table1" caption="Table1"/>
    <measureGroup name="Table13" caption="Table13"/>
    <measureGroup name="Table3" caption="Table3"/>
    <measureGroup name="Table5" caption="Table5"/>
  </measureGroups>
  <maps count="6">
    <map measureGroup="0" dimension="1"/>
    <map measureGroup="0" dimension="2"/>
    <map measureGroup="0" dimension="3"/>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4.249876967595" backgroundQuery="1" createdVersion="8" refreshedVersion="8" minRefreshableVersion="3" recordCount="0" supportSubquery="1" supportAdvancedDrill="1" xr:uid="{481D49AA-A936-443C-8244-0925A4C26A25}">
  <cacheSource type="external" connectionId="1"/>
  <cacheFields count="3">
    <cacheField name="[Measures].[Sum of SalesAmount]" caption="Sum of SalesAmount" numFmtId="0" hierarchy="24" level="32767"/>
    <cacheField name="[Table3].[Category].[Category]" caption="Category" numFmtId="0" hierarchy="16" level="1">
      <sharedItems count="4">
        <s v="Clothing"/>
        <s v="Electronics"/>
        <s v="Home"/>
        <s v="Office"/>
      </sharedItems>
    </cacheField>
    <cacheField name="[Table5].[RegionName].[RegionName]" caption="RegionName" numFmtId="0" hierarchy="18" level="1">
      <sharedItems count="1">
        <s v="East"/>
      </sharedItems>
    </cacheField>
  </cacheFields>
  <cacheHierarchies count="33">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ProductID]" caption="ProductID" attribute="1" defaultMemberUniqueName="[Table1].[ProductID].[All]" allUniqueName="[Table1].[Product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3].[OrderID]" caption="OrderID" attribute="1" defaultMemberUniqueName="[Table13].[OrderID].[All]" allUniqueName="[Table13].[OrderID].[All]" dimensionUniqueName="[Table13]" displayFolder="" count="0" memberValueDatatype="130" unbalanced="0"/>
    <cacheHierarchy uniqueName="[Table13].[OrderDate]" caption="OrderDate" attribute="1" time="1" defaultMemberUniqueName="[Table13].[OrderDate].[All]" allUniqueName="[Table13].[OrderDate].[All]" dimensionUniqueName="[Table13]" displayFolder="" count="0" memberValueDatatype="7" unbalanced="0"/>
    <cacheHierarchy uniqueName="[Table13].[ProductID]" caption="ProductID" attribute="1" defaultMemberUniqueName="[Table13].[ProductID].[All]" allUniqueName="[Table13].[ProductID].[All]" dimensionUniqueName="[Table13]" displayFolder="" count="0" memberValueDatatype="130" unbalanced="0"/>
    <cacheHierarchy uniqueName="[Table13].[Quantity]" caption="Quantity" attribute="1" defaultMemberUniqueName="[Table13].[Quantity].[All]" allUniqueName="[Table13].[Quantity].[All]" dimensionUniqueName="[Table13]" displayFolder="" count="0" memberValueDatatype="20" unbalanced="0"/>
    <cacheHierarchy uniqueName="[Table13].[SalesAmount]" caption="SalesAmount" attribute="1" defaultMemberUniqueName="[Table13].[SalesAmount].[All]" allUniqueName="[Table13].[SalesAmount].[All]" dimensionUniqueName="[Table13]" displayFolder="" count="0" memberValueDatatype="20" unbalanced="0"/>
    <cacheHierarchy uniqueName="[Table13].[Month]" caption="Month" attribute="1" defaultMemberUniqueName="[Table13].[Month].[All]" allUniqueName="[Table13].[Month].[All]" dimensionUniqueName="[Table13]" displayFolder="" count="0" memberValueDatatype="130" unbalanced="0"/>
    <cacheHierarchy uniqueName="[Table13].[WeekDay]" caption="WeekDay" attribute="1" defaultMemberUniqueName="[Table13].[WeekDay].[All]" allUniqueName="[Table13].[WeekDay].[All]" dimensionUniqueName="[Table13]" displayFolder="" count="0" memberValueDatatype="130" unbalanced="0"/>
    <cacheHierarchy uniqueName="[Table3].[ProductID]" caption="ProductID" attribute="1" defaultMemberUniqueName="[Table3].[ProductID].[All]" allUniqueName="[Table3].[ProductID].[All]" dimensionUniqueName="[Table3]" displayFolder="" count="0" memberValueDatatype="130" unbalanced="0"/>
    <cacheHierarchy uniqueName="[Table3].[ProductName]" caption="ProductName" attribute="1" defaultMemberUniqueName="[Table3].[ProductName].[All]" allUniqueName="[Table3].[ProductName].[All]" dimensionUniqueName="[Table3]" displayFolder="" count="0" memberValueDatatype="130" unbalanced="0"/>
    <cacheHierarchy uniqueName="[Table3].[Category]" caption="Category" attribute="1" defaultMemberUniqueName="[Table3].[Category].[All]" allUniqueName="[Table3].[Category].[All]" dimensionUniqueName="[Table3]" displayFolder="" count="2" memberValueDatatype="130" unbalanced="0">
      <fieldsUsage count="2">
        <fieldUsage x="-1"/>
        <fieldUsage x="1"/>
      </fieldsUsage>
    </cacheHierarchy>
    <cacheHierarchy uniqueName="[Table5].[RegionID]" caption="RegionID" attribute="1" defaultMemberUniqueName="[Table5].[RegionID].[All]" allUniqueName="[Table5].[RegionID].[All]" dimensionUniqueName="[Table5]" displayFolder="" count="0" memberValueDatatype="130" unbalanced="0"/>
    <cacheHierarchy uniqueName="[Table5].[RegionName]" caption="RegionName" attribute="1" defaultMemberUniqueName="[Table5].[RegionName].[All]" allUniqueName="[Table5].[RegionName].[All]" dimensionUniqueName="[Table5]"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able13]" caption="__XL_Count Table13" measure="1" displayFolder="" measureGroup="Table13"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SalesAmount]" caption="Sum of SalesAmount"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Average of SalesAmount]" caption="Average of SalesAmount" measure="1" displayFolder="" measureGroup="Table1" count="0" hidden="1">
      <extLst>
        <ext xmlns:x15="http://schemas.microsoft.com/office/spreadsheetml/2010/11/main" uri="{B97F6D7D-B522-45F9-BDA1-12C45D357490}">
          <x15:cacheHierarchy aggregatedColumn="4"/>
        </ext>
      </extLst>
    </cacheHierarchy>
    <cacheHierarchy uniqueName="[Measures].[Count of RegionName]" caption="Count of RegionName" measure="1" displayFolder="" measureGroup="Table5" count="0" hidden="1">
      <extLst>
        <ext xmlns:x15="http://schemas.microsoft.com/office/spreadsheetml/2010/11/main" uri="{B97F6D7D-B522-45F9-BDA1-12C45D357490}">
          <x15:cacheHierarchy aggregatedColumn="18"/>
        </ext>
      </extLst>
    </cacheHierarchy>
    <cacheHierarchy uniqueName="[Measures].[Count of ProductID]" caption="Count of ProductID" measure="1" displayFolder="" measureGroup="Table3" count="0" hidden="1">
      <extLst>
        <ext xmlns:x15="http://schemas.microsoft.com/office/spreadsheetml/2010/11/main" uri="{B97F6D7D-B522-45F9-BDA1-12C45D357490}">
          <x15:cacheHierarchy aggregatedColumn="14"/>
        </ext>
      </extLst>
    </cacheHierarchy>
    <cacheHierarchy uniqueName="[Measures].[Count of ProductID 2]" caption="Count of ProductID 2" measure="1" displayFolder="" measureGroup="Table1" count="0" hidden="1">
      <extLst>
        <ext xmlns:x15="http://schemas.microsoft.com/office/spreadsheetml/2010/11/main" uri="{B97F6D7D-B522-45F9-BDA1-12C45D357490}">
          <x15:cacheHierarchy aggregatedColumn="2"/>
        </ext>
      </extLst>
    </cacheHierarchy>
    <cacheHierarchy uniqueName="[Measures].[Count of WeekDay]" caption="Count of WeekDay" measure="1" displayFolder="" measureGroup="Table1"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3"/>
        </ext>
      </extLst>
    </cacheHierarchy>
    <cacheHierarchy uniqueName="[Measures].[Count of SalesAmount]" caption="Count of SalesAmount" measure="1" displayFolder="" measureGroup="Table1"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Table1" uniqueName="[Table1]" caption="Table1"/>
    <dimension name="Table13" uniqueName="[Table13]" caption="Table13"/>
    <dimension name="Table3" uniqueName="[Table3]" caption="Table3"/>
    <dimension name="Table5" uniqueName="[Table5]" caption="Table5"/>
  </dimensions>
  <measureGroups count="4">
    <measureGroup name="Table1" caption="Table1"/>
    <measureGroup name="Table13" caption="Table13"/>
    <measureGroup name="Table3" caption="Table3"/>
    <measureGroup name="Table5" caption="Table5"/>
  </measureGroups>
  <maps count="6">
    <map measureGroup="0" dimension="1"/>
    <map measureGroup="0" dimension="2"/>
    <map measureGroup="0" dimension="3"/>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0.029494907409" backgroundQuery="1" createdVersion="3" refreshedVersion="8" minRefreshableVersion="3" recordCount="0" supportSubquery="1" supportAdvancedDrill="1" xr:uid="{6976A2AC-6E68-49EB-940D-03AB219C98E2}">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ProductID]" caption="ProductID" attribute="1" defaultMemberUniqueName="[Table1].[ProductID].[All]" allUniqueName="[Table1].[Product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13].[OrderID]" caption="OrderID" attribute="1" defaultMemberUniqueName="[Table13].[OrderID].[All]" allUniqueName="[Table13].[OrderID].[All]" dimensionUniqueName="[Table13]" displayFolder="" count="0" memberValueDatatype="130" unbalanced="0"/>
    <cacheHierarchy uniqueName="[Table13].[OrderDate]" caption="OrderDate" attribute="1" time="1" defaultMemberUniqueName="[Table13].[OrderDate].[All]" allUniqueName="[Table13].[OrderDate].[All]" dimensionUniqueName="[Table13]" displayFolder="" count="0" memberValueDatatype="7" unbalanced="0"/>
    <cacheHierarchy uniqueName="[Table13].[ProductID]" caption="ProductID" attribute="1" defaultMemberUniqueName="[Table13].[ProductID].[All]" allUniqueName="[Table13].[ProductID].[All]" dimensionUniqueName="[Table13]" displayFolder="" count="0" memberValueDatatype="130" unbalanced="0"/>
    <cacheHierarchy uniqueName="[Table13].[Quantity]" caption="Quantity" attribute="1" defaultMemberUniqueName="[Table13].[Quantity].[All]" allUniqueName="[Table13].[Quantity].[All]" dimensionUniqueName="[Table13]" displayFolder="" count="0" memberValueDatatype="20" unbalanced="0"/>
    <cacheHierarchy uniqueName="[Table13].[SalesAmount]" caption="SalesAmount" attribute="1" defaultMemberUniqueName="[Table13].[SalesAmount].[All]" allUniqueName="[Table13].[SalesAmount].[All]" dimensionUniqueName="[Table13]" displayFolder="" count="0" memberValueDatatype="20" unbalanced="0"/>
    <cacheHierarchy uniqueName="[Table13].[Month]" caption="Month" attribute="1" defaultMemberUniqueName="[Table13].[Month].[All]" allUniqueName="[Table13].[Month].[All]" dimensionUniqueName="[Table13]" displayFolder="" count="0" memberValueDatatype="130" unbalanced="0"/>
    <cacheHierarchy uniqueName="[Table13].[WeekDay]" caption="WeekDay" attribute="1" defaultMemberUniqueName="[Table13].[WeekDay].[All]" allUniqueName="[Table13].[WeekDay].[All]" dimensionUniqueName="[Table13]" displayFolder="" count="0" memberValueDatatype="130" unbalanced="0"/>
    <cacheHierarchy uniqueName="[Table3].[ProductID]" caption="ProductID" attribute="1" defaultMemberUniqueName="[Table3].[ProductID].[All]" allUniqueName="[Table3].[ProductID].[All]" dimensionUniqueName="[Table3]" displayFolder="" count="0" memberValueDatatype="130" unbalanced="0"/>
    <cacheHierarchy uniqueName="[Table3].[ProductName]" caption="ProductName" attribute="1" defaultMemberUniqueName="[Table3].[ProductName].[All]" allUniqueName="[Table3].[ProductName].[All]" dimensionUniqueName="[Table3]" displayFolder="" count="0" memberValueDatatype="130" unbalanced="0"/>
    <cacheHierarchy uniqueName="[Table3].[Category]" caption="Category" attribute="1" defaultMemberUniqueName="[Table3].[Category].[All]" allUniqueName="[Table3].[Category].[All]" dimensionUniqueName="[Table3]" displayFolder="" count="2" memberValueDatatype="130" unbalanced="0"/>
    <cacheHierarchy uniqueName="[Table5].[RegionID]" caption="RegionID" attribute="1" defaultMemberUniqueName="[Table5].[RegionID].[All]" allUniqueName="[Table5].[RegionID].[All]" dimensionUniqueName="[Table5]" displayFolder="" count="0" memberValueDatatype="130" unbalanced="0"/>
    <cacheHierarchy uniqueName="[Table5].[RegionName]" caption="RegionName" attribute="1" defaultMemberUniqueName="[Table5].[RegionName].[All]" allUniqueName="[Table5].[RegionName].[All]" dimensionUniqueName="[Table5]" displayFolder="" count="2" memberValueDatatype="130" unbalanced="0"/>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Table13]" caption="__XL_Count Table13" measure="1" displayFolder="" measureGroup="Table13"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SalesAmount]" caption="Sum of SalesAmount" measure="1" displayFolder="" measureGroup="Table1" count="0" hidden="1">
      <extLst>
        <ext xmlns:x15="http://schemas.microsoft.com/office/spreadsheetml/2010/11/main" uri="{B97F6D7D-B522-45F9-BDA1-12C45D357490}">
          <x15:cacheHierarchy aggregatedColumn="4"/>
        </ext>
      </extLst>
    </cacheHierarchy>
    <cacheHierarchy uniqueName="[Measures].[Average of SalesAmount]" caption="Average of SalesAmount" measure="1" displayFolder="" measureGroup="Table1" count="0" hidden="1">
      <extLst>
        <ext xmlns:x15="http://schemas.microsoft.com/office/spreadsheetml/2010/11/main" uri="{B97F6D7D-B522-45F9-BDA1-12C45D357490}">
          <x15:cacheHierarchy aggregatedColumn="4"/>
        </ext>
      </extLst>
    </cacheHierarchy>
    <cacheHierarchy uniqueName="[Measures].[Count of RegionName]" caption="Count of RegionName" measure="1" displayFolder="" measureGroup="Table5" count="0" hidden="1">
      <extLst>
        <ext xmlns:x15="http://schemas.microsoft.com/office/spreadsheetml/2010/11/main" uri="{B97F6D7D-B522-45F9-BDA1-12C45D357490}">
          <x15:cacheHierarchy aggregatedColumn="18"/>
        </ext>
      </extLst>
    </cacheHierarchy>
    <cacheHierarchy uniqueName="[Measures].[Count of ProductID]" caption="Count of ProductID" measure="1" displayFolder="" measureGroup="Table3" count="0" hidden="1">
      <extLst>
        <ext xmlns:x15="http://schemas.microsoft.com/office/spreadsheetml/2010/11/main" uri="{B97F6D7D-B522-45F9-BDA1-12C45D357490}">
          <x15:cacheHierarchy aggregatedColumn="14"/>
        </ext>
      </extLst>
    </cacheHierarchy>
    <cacheHierarchy uniqueName="[Measures].[Count of ProductID 2]" caption="Count of ProductID 2" measure="1" displayFolder="" measureGroup="Table1"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41813835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ORD1047"/>
    <d v="2025-01-01T00:00:00"/>
    <x v="0"/>
    <n v="5"/>
    <n v="900"/>
    <x v="0"/>
    <x v="0"/>
  </r>
  <r>
    <s v="ORD1029"/>
    <d v="2025-01-09T00:00:00"/>
    <x v="1"/>
    <n v="12"/>
    <n v="102000"/>
    <x v="0"/>
    <x v="1"/>
  </r>
  <r>
    <s v="ORD1075"/>
    <d v="2025-01-10T00:00:00"/>
    <x v="2"/>
    <n v="14"/>
    <n v="9100"/>
    <x v="0"/>
    <x v="2"/>
  </r>
  <r>
    <s v="ORD1115"/>
    <d v="2025-01-11T00:00:00"/>
    <x v="3"/>
    <n v="17"/>
    <n v="54400"/>
    <x v="0"/>
    <x v="3"/>
  </r>
  <r>
    <s v="ORD1072"/>
    <d v="2025-01-12T00:00:00"/>
    <x v="4"/>
    <n v="5"/>
    <n v="7500"/>
    <x v="0"/>
    <x v="4"/>
  </r>
  <r>
    <s v="ORD1036"/>
    <d v="2025-01-17T00:00:00"/>
    <x v="5"/>
    <n v="4"/>
    <n v="8800"/>
    <x v="0"/>
    <x v="2"/>
  </r>
  <r>
    <s v="ORD1053"/>
    <d v="2025-02-02T00:00:00"/>
    <x v="6"/>
    <n v="16"/>
    <n v="136000"/>
    <x v="1"/>
    <x v="4"/>
  </r>
  <r>
    <s v="ORD1007"/>
    <d v="2025-02-04T00:00:00"/>
    <x v="7"/>
    <n v="4"/>
    <n v="220000"/>
    <x v="1"/>
    <x v="5"/>
  </r>
  <r>
    <s v="ORD1132"/>
    <d v="2025-02-05T00:00:00"/>
    <x v="8"/>
    <n v="6"/>
    <n v="7200"/>
    <x v="1"/>
    <x v="0"/>
  </r>
  <r>
    <s v="ORD1067"/>
    <d v="2025-02-08T00:00:00"/>
    <x v="9"/>
    <n v="4"/>
    <n v="18000"/>
    <x v="1"/>
    <x v="3"/>
  </r>
  <r>
    <s v="ORD1110"/>
    <d v="2025-02-08T00:00:00"/>
    <x v="10"/>
    <n v="3"/>
    <n v="1950"/>
    <x v="1"/>
    <x v="3"/>
  </r>
  <r>
    <s v="ORD1145"/>
    <d v="2025-02-11T00:00:00"/>
    <x v="11"/>
    <n v="9"/>
    <n v="16200"/>
    <x v="1"/>
    <x v="5"/>
  </r>
  <r>
    <s v="ORD1054"/>
    <d v="2025-02-12T00:00:00"/>
    <x v="12"/>
    <n v="2"/>
    <n v="9000"/>
    <x v="1"/>
    <x v="0"/>
  </r>
  <r>
    <s v="ORD1071"/>
    <d v="2025-02-16T00:00:00"/>
    <x v="13"/>
    <n v="1"/>
    <n v="2200"/>
    <x v="1"/>
    <x v="4"/>
  </r>
  <r>
    <s v="ORD1118"/>
    <d v="2025-02-20T00:00:00"/>
    <x v="14"/>
    <n v="15"/>
    <n v="48000"/>
    <x v="1"/>
    <x v="1"/>
  </r>
  <r>
    <s v="ORD1134"/>
    <d v="2025-02-22T00:00:00"/>
    <x v="15"/>
    <n v="9"/>
    <n v="108000"/>
    <x v="1"/>
    <x v="3"/>
  </r>
  <r>
    <s v="ORD1127"/>
    <d v="2025-02-24T00:00:00"/>
    <x v="16"/>
    <n v="2"/>
    <n v="3200"/>
    <x v="1"/>
    <x v="6"/>
  </r>
  <r>
    <s v="ORD1046"/>
    <d v="2025-02-27T00:00:00"/>
    <x v="17"/>
    <n v="1"/>
    <n v="14000"/>
    <x v="1"/>
    <x v="1"/>
  </r>
  <r>
    <s v="ORD1028"/>
    <d v="2025-03-01T00:00:00"/>
    <x v="18"/>
    <n v="4"/>
    <n v="2800"/>
    <x v="2"/>
    <x v="3"/>
  </r>
  <r>
    <s v="ORD1044"/>
    <d v="2025-03-01T00:00:00"/>
    <x v="19"/>
    <n v="5"/>
    <n v="9000"/>
    <x v="2"/>
    <x v="3"/>
  </r>
  <r>
    <s v="ORD1106"/>
    <d v="2025-03-01T00:00:00"/>
    <x v="20"/>
    <n v="9"/>
    <n v="28800"/>
    <x v="2"/>
    <x v="3"/>
  </r>
  <r>
    <s v="ORD1013"/>
    <d v="2025-03-03T00:00:00"/>
    <x v="21"/>
    <n v="12"/>
    <n v="21600"/>
    <x v="2"/>
    <x v="6"/>
  </r>
  <r>
    <s v="ORD1100"/>
    <d v="2025-03-03T00:00:00"/>
    <x v="22"/>
    <n v="2"/>
    <n v="1400"/>
    <x v="2"/>
    <x v="6"/>
  </r>
  <r>
    <s v="ORD1124"/>
    <d v="2025-03-04T00:00:00"/>
    <x v="23"/>
    <n v="22"/>
    <n v="39600"/>
    <x v="2"/>
    <x v="5"/>
  </r>
  <r>
    <s v="ORD1061"/>
    <d v="2025-03-10T00:00:00"/>
    <x v="24"/>
    <n v="13"/>
    <n v="156000"/>
    <x v="2"/>
    <x v="6"/>
  </r>
  <r>
    <s v="ORD1089"/>
    <d v="2025-03-19T00:00:00"/>
    <x v="25"/>
    <n v="1"/>
    <n v="2800"/>
    <x v="2"/>
    <x v="0"/>
  </r>
  <r>
    <s v="ORD1070"/>
    <d v="2025-03-21T00:00:00"/>
    <x v="26"/>
    <n v="5"/>
    <n v="6000"/>
    <x v="2"/>
    <x v="2"/>
  </r>
  <r>
    <s v="ORD1079"/>
    <d v="2025-03-24T00:00:00"/>
    <x v="27"/>
    <n v="1"/>
    <n v="2200"/>
    <x v="2"/>
    <x v="6"/>
  </r>
  <r>
    <s v="ORD1096"/>
    <d v="2025-03-24T00:00:00"/>
    <x v="28"/>
    <n v="2"/>
    <n v="28000"/>
    <x v="2"/>
    <x v="6"/>
  </r>
  <r>
    <s v="ORD1097"/>
    <d v="2025-03-25T00:00:00"/>
    <x v="29"/>
    <n v="3"/>
    <n v="3600"/>
    <x v="2"/>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ORD1047"/>
    <d v="2025-01-01T00:00:00"/>
    <s v="PD01"/>
    <n v="5"/>
    <n v="900"/>
    <x v="0"/>
    <s v="Wednesday"/>
  </r>
  <r>
    <s v="ORD1029"/>
    <d v="2025-01-09T00:00:00"/>
    <s v="PD02"/>
    <n v="12"/>
    <n v="102000"/>
    <x v="0"/>
    <s v="Thursday"/>
  </r>
  <r>
    <s v="ORD1075"/>
    <d v="2025-01-10T00:00:00"/>
    <s v="PD03"/>
    <n v="14"/>
    <n v="9100"/>
    <x v="0"/>
    <s v="Friday"/>
  </r>
  <r>
    <s v="ORD1115"/>
    <d v="2025-01-11T00:00:00"/>
    <s v="PD04"/>
    <n v="17"/>
    <n v="54400"/>
    <x v="0"/>
    <s v="Saturday"/>
  </r>
  <r>
    <s v="ORD1072"/>
    <d v="2025-01-12T00:00:00"/>
    <s v="PD05"/>
    <n v="5"/>
    <n v="7500"/>
    <x v="0"/>
    <s v="Sunday"/>
  </r>
  <r>
    <s v="ORD1036"/>
    <d v="2025-01-17T00:00:00"/>
    <s v="PD06"/>
    <n v="4"/>
    <n v="8800"/>
    <x v="0"/>
    <s v="Friday"/>
  </r>
  <r>
    <s v="ORD1053"/>
    <d v="2025-02-02T00:00:00"/>
    <s v="PD07"/>
    <n v="16"/>
    <n v="136000"/>
    <x v="1"/>
    <s v="Sunday"/>
  </r>
  <r>
    <s v="ORD1007"/>
    <d v="2025-02-04T00:00:00"/>
    <s v="PD08"/>
    <n v="4"/>
    <n v="220000"/>
    <x v="1"/>
    <s v="Tuesday"/>
  </r>
  <r>
    <s v="ORD1132"/>
    <d v="2025-02-05T00:00:00"/>
    <s v="PD09"/>
    <n v="6"/>
    <n v="7200"/>
    <x v="1"/>
    <s v="Wednesday"/>
  </r>
  <r>
    <s v="ORD1067"/>
    <d v="2025-02-08T00:00:00"/>
    <s v="PD10"/>
    <n v="4"/>
    <n v="18000"/>
    <x v="1"/>
    <s v="Saturday"/>
  </r>
  <r>
    <s v="ORD1110"/>
    <d v="2025-02-08T00:00:00"/>
    <s v="PD11"/>
    <n v="3"/>
    <n v="1950"/>
    <x v="1"/>
    <s v="Saturday"/>
  </r>
  <r>
    <s v="ORD1145"/>
    <d v="2025-02-11T00:00:00"/>
    <s v="PD12"/>
    <n v="9"/>
    <n v="16200"/>
    <x v="1"/>
    <s v="Tuesday"/>
  </r>
  <r>
    <s v="ORD1054"/>
    <d v="2025-02-12T00:00:00"/>
    <s v="PD13"/>
    <n v="2"/>
    <n v="9000"/>
    <x v="1"/>
    <s v="Wednesday"/>
  </r>
  <r>
    <s v="ORD1071"/>
    <d v="2025-02-16T00:00:00"/>
    <s v="PD14"/>
    <n v="1"/>
    <n v="2200"/>
    <x v="1"/>
    <s v="Sunday"/>
  </r>
  <r>
    <s v="ORD1118"/>
    <d v="2025-02-20T00:00:00"/>
    <s v="PD15"/>
    <n v="15"/>
    <n v="48000"/>
    <x v="1"/>
    <s v="Thursday"/>
  </r>
  <r>
    <s v="ORD1134"/>
    <d v="2025-02-22T00:00:00"/>
    <s v="PD16"/>
    <n v="9"/>
    <n v="108000"/>
    <x v="1"/>
    <s v="Saturday"/>
  </r>
  <r>
    <s v="ORD1127"/>
    <d v="2025-02-24T00:00:00"/>
    <s v="PD17"/>
    <n v="2"/>
    <n v="3200"/>
    <x v="1"/>
    <s v="Monday"/>
  </r>
  <r>
    <s v="ORD1046"/>
    <d v="2025-02-27T00:00:00"/>
    <s v="PD18"/>
    <n v="1"/>
    <n v="14000"/>
    <x v="1"/>
    <s v="Thursday"/>
  </r>
  <r>
    <s v="ORD1028"/>
    <d v="2025-03-01T00:00:00"/>
    <s v="PD19"/>
    <n v="4"/>
    <n v="2800"/>
    <x v="2"/>
    <s v="Saturday"/>
  </r>
  <r>
    <s v="ORD1044"/>
    <d v="2025-03-01T00:00:00"/>
    <s v="PD20"/>
    <n v="5"/>
    <n v="9000"/>
    <x v="2"/>
    <s v="Saturday"/>
  </r>
  <r>
    <s v="ORD1106"/>
    <d v="2025-03-01T00:00:00"/>
    <s v="PD21"/>
    <n v="9"/>
    <n v="28800"/>
    <x v="2"/>
    <s v="Saturday"/>
  </r>
  <r>
    <s v="ORD1013"/>
    <d v="2025-03-03T00:00:00"/>
    <s v="PD22"/>
    <n v="12"/>
    <n v="21600"/>
    <x v="2"/>
    <s v="Monday"/>
  </r>
  <r>
    <s v="ORD1100"/>
    <d v="2025-03-03T00:00:00"/>
    <s v="PD23"/>
    <n v="2"/>
    <n v="1400"/>
    <x v="2"/>
    <s v="Monday"/>
  </r>
  <r>
    <s v="ORD1124"/>
    <d v="2025-03-04T00:00:00"/>
    <s v="PD24"/>
    <n v="22"/>
    <n v="39600"/>
    <x v="2"/>
    <s v="Tuesday"/>
  </r>
  <r>
    <s v="ORD1061"/>
    <d v="2025-03-10T00:00:00"/>
    <s v="PD25"/>
    <n v="13"/>
    <n v="156000"/>
    <x v="2"/>
    <s v="Monday"/>
  </r>
  <r>
    <s v="ORD1089"/>
    <d v="2025-03-19T00:00:00"/>
    <s v="PD26"/>
    <n v="1"/>
    <n v="2800"/>
    <x v="2"/>
    <s v="Wednesday"/>
  </r>
  <r>
    <s v="ORD1070"/>
    <d v="2025-03-21T00:00:00"/>
    <s v="PD27"/>
    <n v="5"/>
    <n v="6000"/>
    <x v="2"/>
    <s v="Friday"/>
  </r>
  <r>
    <s v="ORD1079"/>
    <d v="2025-03-24T00:00:00"/>
    <s v="PD28"/>
    <n v="1"/>
    <n v="2200"/>
    <x v="2"/>
    <s v="Monday"/>
  </r>
  <r>
    <s v="ORD1096"/>
    <d v="2025-03-24T00:00:00"/>
    <s v="PD29"/>
    <n v="2"/>
    <n v="28000"/>
    <x v="2"/>
    <s v="Monday"/>
  </r>
  <r>
    <s v="ORD1097"/>
    <d v="2025-03-25T00:00:00"/>
    <s v="PD30"/>
    <n v="3"/>
    <n v="3600"/>
    <x v="2"/>
    <s v="Tuesday"/>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ORD1047"/>
    <x v="0"/>
    <s v="PD01"/>
    <n v="5"/>
    <n v="900"/>
    <s v="January"/>
    <x v="0"/>
  </r>
  <r>
    <s v="ORD1029"/>
    <x v="1"/>
    <s v="PD02"/>
    <n v="12"/>
    <n v="102000"/>
    <s v="January"/>
    <x v="1"/>
  </r>
  <r>
    <s v="ORD1075"/>
    <x v="2"/>
    <s v="PD03"/>
    <n v="14"/>
    <n v="9100"/>
    <s v="January"/>
    <x v="2"/>
  </r>
  <r>
    <s v="ORD1115"/>
    <x v="3"/>
    <s v="PD04"/>
    <n v="17"/>
    <n v="54400"/>
    <s v="January"/>
    <x v="3"/>
  </r>
  <r>
    <s v="ORD1072"/>
    <x v="4"/>
    <s v="PD05"/>
    <n v="5"/>
    <n v="7500"/>
    <s v="January"/>
    <x v="4"/>
  </r>
  <r>
    <s v="ORD1036"/>
    <x v="5"/>
    <s v="PD06"/>
    <n v="4"/>
    <n v="8800"/>
    <s v="January"/>
    <x v="2"/>
  </r>
  <r>
    <s v="ORD1053"/>
    <x v="6"/>
    <s v="PD07"/>
    <n v="16"/>
    <n v="136000"/>
    <s v="February"/>
    <x v="4"/>
  </r>
  <r>
    <s v="ORD1007"/>
    <x v="7"/>
    <s v="PD08"/>
    <n v="4"/>
    <n v="220000"/>
    <s v="February"/>
    <x v="5"/>
  </r>
  <r>
    <s v="ORD1132"/>
    <x v="8"/>
    <s v="PD09"/>
    <n v="6"/>
    <n v="7200"/>
    <s v="February"/>
    <x v="0"/>
  </r>
  <r>
    <s v="ORD1067"/>
    <x v="9"/>
    <s v="PD10"/>
    <n v="4"/>
    <n v="18000"/>
    <s v="February"/>
    <x v="3"/>
  </r>
  <r>
    <s v="ORD1110"/>
    <x v="9"/>
    <s v="PD11"/>
    <n v="3"/>
    <n v="1950"/>
    <s v="February"/>
    <x v="3"/>
  </r>
  <r>
    <s v="ORD1145"/>
    <x v="10"/>
    <s v="PD12"/>
    <n v="9"/>
    <n v="16200"/>
    <s v="February"/>
    <x v="5"/>
  </r>
  <r>
    <s v="ORD1054"/>
    <x v="11"/>
    <s v="PD13"/>
    <n v="2"/>
    <n v="9000"/>
    <s v="February"/>
    <x v="0"/>
  </r>
  <r>
    <s v="ORD1071"/>
    <x v="12"/>
    <s v="PD14"/>
    <n v="1"/>
    <n v="2200"/>
    <s v="February"/>
    <x v="4"/>
  </r>
  <r>
    <s v="ORD1118"/>
    <x v="13"/>
    <s v="PD15"/>
    <n v="15"/>
    <n v="48000"/>
    <s v="February"/>
    <x v="1"/>
  </r>
  <r>
    <s v="ORD1134"/>
    <x v="14"/>
    <s v="PD16"/>
    <n v="9"/>
    <n v="108000"/>
    <s v="February"/>
    <x v="3"/>
  </r>
  <r>
    <s v="ORD1127"/>
    <x v="15"/>
    <s v="PD17"/>
    <n v="2"/>
    <n v="3200"/>
    <s v="February"/>
    <x v="6"/>
  </r>
  <r>
    <s v="ORD1046"/>
    <x v="16"/>
    <s v="PD18"/>
    <n v="1"/>
    <n v="14000"/>
    <s v="February"/>
    <x v="1"/>
  </r>
  <r>
    <s v="ORD1028"/>
    <x v="17"/>
    <s v="PD19"/>
    <n v="4"/>
    <n v="2800"/>
    <s v="March"/>
    <x v="3"/>
  </r>
  <r>
    <s v="ORD1044"/>
    <x v="17"/>
    <s v="PD20"/>
    <n v="5"/>
    <n v="9000"/>
    <s v="March"/>
    <x v="3"/>
  </r>
  <r>
    <s v="ORD1106"/>
    <x v="17"/>
    <s v="PD21"/>
    <n v="9"/>
    <n v="28800"/>
    <s v="March"/>
    <x v="3"/>
  </r>
  <r>
    <s v="ORD1013"/>
    <x v="18"/>
    <s v="PD22"/>
    <n v="12"/>
    <n v="21600"/>
    <s v="March"/>
    <x v="6"/>
  </r>
  <r>
    <s v="ORD1100"/>
    <x v="18"/>
    <s v="PD23"/>
    <n v="2"/>
    <n v="1400"/>
    <s v="March"/>
    <x v="6"/>
  </r>
  <r>
    <s v="ORD1124"/>
    <x v="19"/>
    <s v="PD24"/>
    <n v="22"/>
    <n v="39600"/>
    <s v="March"/>
    <x v="5"/>
  </r>
  <r>
    <s v="ORD1061"/>
    <x v="20"/>
    <s v="PD25"/>
    <n v="13"/>
    <n v="156000"/>
    <s v="March"/>
    <x v="6"/>
  </r>
  <r>
    <s v="ORD1089"/>
    <x v="21"/>
    <s v="PD26"/>
    <n v="1"/>
    <n v="2800"/>
    <s v="March"/>
    <x v="0"/>
  </r>
  <r>
    <s v="ORD1070"/>
    <x v="22"/>
    <s v="PD27"/>
    <n v="5"/>
    <n v="6000"/>
    <s v="March"/>
    <x v="2"/>
  </r>
  <r>
    <s v="ORD1079"/>
    <x v="23"/>
    <s v="PD28"/>
    <n v="1"/>
    <n v="2200"/>
    <s v="March"/>
    <x v="6"/>
  </r>
  <r>
    <s v="ORD1096"/>
    <x v="23"/>
    <s v="PD29"/>
    <n v="2"/>
    <n v="28000"/>
    <s v="March"/>
    <x v="6"/>
  </r>
  <r>
    <s v="ORD1097"/>
    <x v="24"/>
    <s v="PD30"/>
    <n v="3"/>
    <n v="3600"/>
    <s v="March"/>
    <x v="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ORD1047"/>
    <d v="2025-01-01T00:00:00"/>
    <s v="PD01"/>
    <n v="5"/>
    <n v="900"/>
    <x v="0"/>
    <x v="0"/>
  </r>
  <r>
    <s v="ORD1029"/>
    <d v="2025-01-09T00:00:00"/>
    <s v="PD02"/>
    <n v="12"/>
    <n v="102000"/>
    <x v="0"/>
    <x v="1"/>
  </r>
  <r>
    <s v="ORD1075"/>
    <d v="2025-01-10T00:00:00"/>
    <s v="PD03"/>
    <n v="14"/>
    <n v="9100"/>
    <x v="0"/>
    <x v="2"/>
  </r>
  <r>
    <s v="ORD1115"/>
    <d v="2025-01-11T00:00:00"/>
    <s v="PD04"/>
    <n v="17"/>
    <n v="54400"/>
    <x v="0"/>
    <x v="3"/>
  </r>
  <r>
    <s v="ORD1072"/>
    <d v="2025-01-12T00:00:00"/>
    <s v="PD05"/>
    <n v="5"/>
    <n v="7500"/>
    <x v="0"/>
    <x v="4"/>
  </r>
  <r>
    <s v="ORD1036"/>
    <d v="2025-01-17T00:00:00"/>
    <s v="PD06"/>
    <n v="4"/>
    <n v="8800"/>
    <x v="0"/>
    <x v="2"/>
  </r>
  <r>
    <s v="ORD1053"/>
    <d v="2025-02-02T00:00:00"/>
    <s v="PD07"/>
    <n v="16"/>
    <n v="136000"/>
    <x v="1"/>
    <x v="4"/>
  </r>
  <r>
    <s v="ORD1007"/>
    <d v="2025-02-04T00:00:00"/>
    <s v="PD08"/>
    <n v="4"/>
    <n v="220000"/>
    <x v="1"/>
    <x v="5"/>
  </r>
  <r>
    <s v="ORD1132"/>
    <d v="2025-02-05T00:00:00"/>
    <s v="PD09"/>
    <n v="6"/>
    <n v="7200"/>
    <x v="1"/>
    <x v="0"/>
  </r>
  <r>
    <s v="ORD1067"/>
    <d v="2025-02-08T00:00:00"/>
    <s v="PD10"/>
    <n v="4"/>
    <n v="18000"/>
    <x v="1"/>
    <x v="3"/>
  </r>
  <r>
    <s v="ORD1110"/>
    <d v="2025-02-08T00:00:00"/>
    <s v="PD11"/>
    <n v="3"/>
    <n v="1950"/>
    <x v="1"/>
    <x v="3"/>
  </r>
  <r>
    <s v="ORD1145"/>
    <d v="2025-02-11T00:00:00"/>
    <s v="PD12"/>
    <n v="9"/>
    <n v="16200"/>
    <x v="1"/>
    <x v="5"/>
  </r>
  <r>
    <s v="ORD1054"/>
    <d v="2025-02-12T00:00:00"/>
    <s v="PD13"/>
    <n v="2"/>
    <n v="9000"/>
    <x v="1"/>
    <x v="0"/>
  </r>
  <r>
    <s v="ORD1071"/>
    <d v="2025-02-16T00:00:00"/>
    <s v="PD14"/>
    <n v="1"/>
    <n v="2200"/>
    <x v="1"/>
    <x v="4"/>
  </r>
  <r>
    <s v="ORD1118"/>
    <d v="2025-02-20T00:00:00"/>
    <s v="PD15"/>
    <n v="15"/>
    <n v="48000"/>
    <x v="1"/>
    <x v="1"/>
  </r>
  <r>
    <s v="ORD1134"/>
    <d v="2025-02-22T00:00:00"/>
    <s v="PD16"/>
    <n v="9"/>
    <n v="108000"/>
    <x v="1"/>
    <x v="3"/>
  </r>
  <r>
    <s v="ORD1127"/>
    <d v="2025-02-24T00:00:00"/>
    <s v="PD17"/>
    <n v="2"/>
    <n v="3200"/>
    <x v="1"/>
    <x v="6"/>
  </r>
  <r>
    <s v="ORD1046"/>
    <d v="2025-02-27T00:00:00"/>
    <s v="PD18"/>
    <n v="1"/>
    <n v="14000"/>
    <x v="1"/>
    <x v="1"/>
  </r>
  <r>
    <s v="ORD1028"/>
    <d v="2025-03-01T00:00:00"/>
    <s v="PD19"/>
    <n v="4"/>
    <n v="2800"/>
    <x v="2"/>
    <x v="3"/>
  </r>
  <r>
    <s v="ORD1044"/>
    <d v="2025-03-01T00:00:00"/>
    <s v="PD20"/>
    <n v="5"/>
    <n v="9000"/>
    <x v="2"/>
    <x v="3"/>
  </r>
  <r>
    <s v="ORD1106"/>
    <d v="2025-03-01T00:00:00"/>
    <s v="PD21"/>
    <n v="9"/>
    <n v="28800"/>
    <x v="2"/>
    <x v="3"/>
  </r>
  <r>
    <s v="ORD1013"/>
    <d v="2025-03-03T00:00:00"/>
    <s v="PD22"/>
    <n v="12"/>
    <n v="21600"/>
    <x v="2"/>
    <x v="6"/>
  </r>
  <r>
    <s v="ORD1100"/>
    <d v="2025-03-03T00:00:00"/>
    <s v="PD23"/>
    <n v="2"/>
    <n v="1400"/>
    <x v="2"/>
    <x v="6"/>
  </r>
  <r>
    <s v="ORD1124"/>
    <d v="2025-03-04T00:00:00"/>
    <s v="PD24"/>
    <n v="22"/>
    <n v="39600"/>
    <x v="2"/>
    <x v="5"/>
  </r>
  <r>
    <s v="ORD1061"/>
    <d v="2025-03-10T00:00:00"/>
    <s v="PD25"/>
    <n v="13"/>
    <n v="156000"/>
    <x v="2"/>
    <x v="6"/>
  </r>
  <r>
    <s v="ORD1089"/>
    <d v="2025-03-19T00:00:00"/>
    <s v="PD26"/>
    <n v="1"/>
    <n v="2800"/>
    <x v="2"/>
    <x v="0"/>
  </r>
  <r>
    <s v="ORD1070"/>
    <d v="2025-03-21T00:00:00"/>
    <s v="PD27"/>
    <n v="5"/>
    <n v="6000"/>
    <x v="2"/>
    <x v="2"/>
  </r>
  <r>
    <s v="ORD1079"/>
    <d v="2025-03-24T00:00:00"/>
    <s v="PD28"/>
    <n v="1"/>
    <n v="2200"/>
    <x v="2"/>
    <x v="6"/>
  </r>
  <r>
    <s v="ORD1096"/>
    <d v="2025-03-24T00:00:00"/>
    <s v="PD29"/>
    <n v="2"/>
    <n v="28000"/>
    <x v="2"/>
    <x v="6"/>
  </r>
  <r>
    <s v="ORD1097"/>
    <d v="2025-03-25T00:00:00"/>
    <s v="PD30"/>
    <n v="3"/>
    <n v="3600"/>
    <x v="2"/>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36670F-6188-48C2-B481-54E54E01C47F}" name="PivotTable6" cacheId="7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B25:C26"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SalesAmount" fld="0" baseField="0" baseItem="0"/>
    <dataField name="Count of ProductID" fld="1"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able5].[RegionName].&amp;[East]"/>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alesAmount"/>
    <pivotHierarchy dragToData="1" caption="Average of SalesAm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BFD7E4-7F4B-41D9-8D0F-8C0ABF72E016}" name="PivotTable5" cacheId="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K3:L9" firstHeaderRow="1" firstDataRow="1" firstDataCol="1"/>
  <pivotFields count="3">
    <pivotField axis="axisRow" allDrilled="1" subtotalTop="0" showAll="0" dataSourceSort="1" defaultSubtotal="0" defaultAttributeDrillState="1">
      <items count="5">
        <item s="1" x="0"/>
        <item s="1" x="1"/>
        <item s="1" x="2"/>
        <item s="1" x="3"/>
        <item s="1"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Amount" fld="1" baseField="0" baseItem="0"/>
  </dataFields>
  <chartFormats count="1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 chart="17" format="24" series="1">
      <pivotArea type="data" outline="0" fieldPosition="0">
        <references count="1">
          <reference field="4294967294" count="1" selected="0">
            <x v="0"/>
          </reference>
        </references>
      </pivotArea>
    </chartFormat>
    <chartFormat chart="17" format="25">
      <pivotArea type="data" outline="0" fieldPosition="0">
        <references count="2">
          <reference field="4294967294" count="1" selected="0">
            <x v="0"/>
          </reference>
          <reference field="0" count="1" selected="0">
            <x v="0"/>
          </reference>
        </references>
      </pivotArea>
    </chartFormat>
    <chartFormat chart="17" format="26">
      <pivotArea type="data" outline="0" fieldPosition="0">
        <references count="2">
          <reference field="4294967294" count="1" selected="0">
            <x v="0"/>
          </reference>
          <reference field="0" count="1" selected="0">
            <x v="1"/>
          </reference>
        </references>
      </pivotArea>
    </chartFormat>
    <chartFormat chart="17" format="27">
      <pivotArea type="data" outline="0" fieldPosition="0">
        <references count="2">
          <reference field="4294967294" count="1" selected="0">
            <x v="0"/>
          </reference>
          <reference field="0" count="1" selected="0">
            <x v="2"/>
          </reference>
        </references>
      </pivotArea>
    </chartFormat>
    <chartFormat chart="17" format="28">
      <pivotArea type="data" outline="0" fieldPosition="0">
        <references count="2">
          <reference field="4294967294" count="1" selected="0">
            <x v="0"/>
          </reference>
          <reference field="0" count="1" selected="0">
            <x v="3"/>
          </reference>
        </references>
      </pivotArea>
    </chartFormat>
    <chartFormat chart="17" format="29">
      <pivotArea type="data" outline="0" fieldPosition="0">
        <references count="2">
          <reference field="4294967294" count="1" selected="0">
            <x v="0"/>
          </reference>
          <reference field="0" count="1" selected="0">
            <x v="4"/>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members count="1" level="1">
        <member name="[Table5].[RegionName].&amp;[East]"/>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alesAmount"/>
    <pivotHierarchy dragToData="1" caption="Average of SalesAm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02EAA2-D929-4442-8882-D2608FF601DB}" name="PivotTable4" cacheId="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3:C23" firstHeaderRow="0" firstDataRow="1" firstDataCol="1"/>
  <pivotFields count="4">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0">
    <i>
      <x/>
    </i>
    <i>
      <x v="1"/>
    </i>
    <i>
      <x v="2"/>
    </i>
    <i>
      <x v="3"/>
    </i>
    <i>
      <x v="4"/>
    </i>
    <i>
      <x v="5"/>
    </i>
    <i>
      <x v="6"/>
    </i>
    <i>
      <x v="7"/>
    </i>
    <i>
      <x v="8"/>
    </i>
    <i>
      <x v="9"/>
    </i>
    <i>
      <x v="10"/>
    </i>
    <i>
      <x v="11"/>
    </i>
    <i>
      <x v="12"/>
    </i>
    <i>
      <x v="13"/>
    </i>
    <i>
      <x v="14"/>
    </i>
    <i>
      <x v="15"/>
    </i>
    <i>
      <x v="16"/>
    </i>
    <i>
      <x v="17"/>
    </i>
    <i>
      <x v="18"/>
    </i>
    <i t="grand">
      <x/>
    </i>
  </rowItems>
  <colFields count="1">
    <field x="-2"/>
  </colFields>
  <colItems count="2">
    <i>
      <x/>
    </i>
    <i i="1">
      <x v="1"/>
    </i>
  </colItems>
  <dataFields count="2">
    <dataField name="Sum of SalesAmount" fld="1" baseField="0" baseItem="0"/>
    <dataField name="Count of ProductI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able5].[RegionName].&amp;[East]"/>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alesAmount"/>
    <pivotHierarchy dragToData="1" caption="Average of SalesAm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393FC3-1E07-4851-831B-FB836F562FB8}" name="PivotTable1" cacheId="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location ref="I6:K26" firstHeaderRow="0" firstDataRow="1" firstDataCol="1"/>
  <pivotFields count="5">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2">
    <field x="2"/>
    <field x="3"/>
  </rowFields>
  <rowItems count="20">
    <i>
      <x/>
    </i>
    <i r="1">
      <x/>
    </i>
    <i r="1">
      <x v="1"/>
    </i>
    <i r="1">
      <x v="2"/>
    </i>
    <i r="1">
      <x v="3"/>
    </i>
    <i r="1">
      <x v="4"/>
    </i>
    <i r="1">
      <x v="5"/>
    </i>
    <i>
      <x v="1"/>
    </i>
    <i r="1">
      <x v="6"/>
    </i>
    <i r="1">
      <x v="1"/>
    </i>
    <i r="1">
      <x v="2"/>
    </i>
    <i r="1">
      <x v="3"/>
    </i>
    <i r="1">
      <x v="5"/>
    </i>
    <i>
      <x v="2"/>
    </i>
    <i r="1">
      <x v="6"/>
    </i>
    <i r="1">
      <x/>
    </i>
    <i r="1">
      <x v="1"/>
    </i>
    <i r="1">
      <x v="4"/>
    </i>
    <i r="1">
      <x v="5"/>
    </i>
    <i t="grand">
      <x/>
    </i>
  </rowItems>
  <colFields count="1">
    <field x="-2"/>
  </colFields>
  <colItems count="2">
    <i>
      <x/>
    </i>
    <i i="1">
      <x v="1"/>
    </i>
  </colItems>
  <dataFields count="2">
    <dataField name="Total Sales" fld="0" baseField="2" baseItem="0"/>
    <dataField name="Count of Sales" fld="4" subtotal="count" baseField="2" baseItem="0"/>
  </dataFields>
  <chartFormats count="6">
    <chartFormat chart="0"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8" format="4" series="1">
      <pivotArea type="data" outline="0" fieldPosition="0">
        <references count="1">
          <reference field="4294967294" count="1" selected="0">
            <x v="1"/>
          </reference>
        </references>
      </pivotArea>
    </chartFormat>
    <chartFormat chart="28" format="5"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able5].[RegionName].&amp;[East]"/>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caption="Sum of Quantity"/>
    <pivotHierarchy dragToData="1" caption="Count of Quantity"/>
    <pivotHierarchy dragToData="1" caption="Count of Sales"/>
  </pivotHierarchies>
  <pivotTableStyleInfo name="PivotStyleLight16" showRowHeaders="1" showColHeaders="1" showRowStripes="0" showColStripes="0" showLastColumn="1"/>
  <rowHierarchiesUsage count="2">
    <rowHierarchyUsage hierarchyUsage="5"/>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1E2CA8-BEAD-4B90-9522-F64E08C11037}" name="PivotTable6" cacheId="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3:B23" firstHeaderRow="1" firstDataRow="1" firstDataCol="1"/>
  <pivotFields count="3">
    <pivotField dataField="1" subtotalTop="0" showAll="0" defaultSubtotal="0"/>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allDrilled="1" subtotalTop="0" showAll="0" dataSourceSort="1" defaultSubtotal="0" defaultAttributeDrillState="1"/>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SalesAmount" fld="0" baseField="0" baseItem="0"/>
  </dataFields>
  <chartFormats count="2">
    <chartFormat chart="0"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Table5].[RegionName].&amp;[East]"/>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598B64-8C6F-40E5-B1B1-70DD0B908F68}" name="PivotTable5" cacheId="18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3:B12"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
        <item s="1" x="0"/>
      </items>
    </pivotField>
  </pivotFields>
  <rowFields count="2">
    <field x="1"/>
    <field x="2"/>
  </rowFields>
  <rowItems count="9">
    <i>
      <x/>
    </i>
    <i r="1">
      <x/>
    </i>
    <i>
      <x v="1"/>
    </i>
    <i r="1">
      <x/>
    </i>
    <i>
      <x v="2"/>
    </i>
    <i r="1">
      <x/>
    </i>
    <i>
      <x v="3"/>
    </i>
    <i r="1">
      <x/>
    </i>
    <i t="grand">
      <x/>
    </i>
  </rowItems>
  <colItems count="1">
    <i/>
  </colItems>
  <dataFields count="1">
    <dataField name="Sum of SalesAmount" fld="0" baseField="0" baseItem="0"/>
  </dataFields>
  <chartFormats count="2">
    <chartFormat chart="3"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153C34-C122-4902-B936-E219D62782F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8:D55" firstHeaderRow="1" firstDataRow="1" firstDataCol="0"/>
  <pivotFields count="7">
    <pivotField showAll="0"/>
    <pivotField numFmtId="14"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3F36DC-8E8A-4631-8240-4259A43947C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23" firstHeaderRow="1" firstDataRow="1" firstDataCol="1"/>
  <pivotFields count="7">
    <pivotField showAll="0"/>
    <pivotField numFmtId="14" showAll="0"/>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dataField="1" showAll="0"/>
    <pivotField axis="axisRow" showAll="0">
      <items count="4">
        <item x="0"/>
        <item x="1"/>
        <item x="2"/>
        <item t="default"/>
      </items>
    </pivotField>
    <pivotField axis="axisRow" showAll="0">
      <items count="8">
        <item x="4"/>
        <item x="6"/>
        <item x="5"/>
        <item x="0"/>
        <item x="1"/>
        <item x="2"/>
        <item x="3"/>
        <item t="default"/>
      </items>
    </pivotField>
  </pivotFields>
  <rowFields count="2">
    <field x="5"/>
    <field x="6"/>
  </rowFields>
  <rowItems count="20">
    <i>
      <x/>
    </i>
    <i r="1">
      <x/>
    </i>
    <i r="1">
      <x v="3"/>
    </i>
    <i r="1">
      <x v="4"/>
    </i>
    <i r="1">
      <x v="5"/>
    </i>
    <i r="1">
      <x v="6"/>
    </i>
    <i>
      <x v="1"/>
    </i>
    <i r="1">
      <x/>
    </i>
    <i r="1">
      <x v="1"/>
    </i>
    <i r="1">
      <x v="2"/>
    </i>
    <i r="1">
      <x v="3"/>
    </i>
    <i r="1">
      <x v="4"/>
    </i>
    <i r="1">
      <x v="6"/>
    </i>
    <i>
      <x v="2"/>
    </i>
    <i r="1">
      <x v="1"/>
    </i>
    <i r="1">
      <x v="2"/>
    </i>
    <i r="1">
      <x v="3"/>
    </i>
    <i r="1">
      <x v="5"/>
    </i>
    <i r="1">
      <x v="6"/>
    </i>
    <i t="grand">
      <x/>
    </i>
  </rowItems>
  <colItems count="1">
    <i/>
  </colItems>
  <dataFields count="1">
    <dataField name="Sum of SalesAmount" fld="4" baseField="0" baseItem="0"/>
  </dataFields>
  <chartFormats count="2">
    <chartFormat chart="11"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7CFA24-F081-4A72-A511-9C15545C82E7}" name="PivotTable22"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3:B6" firstHeaderRow="1" firstDataRow="1" firstDataCol="1"/>
  <pivotFields count="7">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5"/>
  </rowFields>
  <rowItems count="3">
    <i>
      <x/>
    </i>
    <i>
      <x v="1"/>
    </i>
    <i>
      <x v="2"/>
    </i>
  </rowItems>
  <colItems count="1">
    <i/>
  </colItems>
  <dataFields count="1">
    <dataField name="Sum of SalesAmou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0909C9F-CF32-4477-8007-D8C05632FF1F}" name="PivotTable5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1" firstHeaderRow="0" firstDataRow="1" firstDataCol="1"/>
  <pivotFields count="7">
    <pivotField dataField="1" showAll="0"/>
    <pivotField axis="axisRow"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dataField="1" showAll="0"/>
    <pivotField dataField="1" showAll="0"/>
    <pivotField showAll="0"/>
    <pivotField axis="axisRow" showAll="0">
      <items count="8">
        <item sd="0" x="4"/>
        <item sd="0" x="6"/>
        <item sd="0" x="5"/>
        <item sd="0" x="0"/>
        <item sd="0" x="1"/>
        <item sd="0" x="2"/>
        <item sd="0" x="3"/>
        <item t="default" sd="0"/>
      </items>
    </pivotField>
  </pivotFields>
  <rowFields count="2">
    <field x="6"/>
    <field x="1"/>
  </rowFields>
  <rowItems count="8">
    <i>
      <x/>
    </i>
    <i>
      <x v="1"/>
    </i>
    <i>
      <x v="2"/>
    </i>
    <i>
      <x v="3"/>
    </i>
    <i>
      <x v="4"/>
    </i>
    <i>
      <x v="5"/>
    </i>
    <i>
      <x v="6"/>
    </i>
    <i t="grand">
      <x/>
    </i>
  </rowItems>
  <colFields count="1">
    <field x="-2"/>
  </colFields>
  <colItems count="3">
    <i>
      <x/>
    </i>
    <i i="1">
      <x v="1"/>
    </i>
    <i i="2">
      <x v="2"/>
    </i>
  </colItems>
  <dataFields count="3">
    <dataField name="Sum of Quantity" fld="3" baseField="0" baseItem="0"/>
    <dataField name="Sum of SalesAmount" fld="4" baseField="0" baseItem="0"/>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E4CE448-294B-4214-88F4-8448709981B1}" name="PivotTable66"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3:C19" firstHeaderRow="1" firstDataRow="1" firstDataCol="2"/>
  <pivotFields count="7">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7">
        <item x="4"/>
        <item x="6"/>
        <item x="5"/>
        <item x="0"/>
        <item x="1"/>
        <item x="2"/>
        <item x="3"/>
      </items>
      <extLst>
        <ext xmlns:x14="http://schemas.microsoft.com/office/spreadsheetml/2009/9/main" uri="{2946ED86-A175-432a-8AC1-64E0C546D7DE}">
          <x14:pivotField fillDownLabels="1"/>
        </ext>
      </extLst>
    </pivotField>
  </pivotFields>
  <rowFields count="2">
    <field x="5"/>
    <field x="6"/>
  </rowFields>
  <rowItems count="16">
    <i>
      <x/>
      <x/>
    </i>
    <i r="1">
      <x v="3"/>
    </i>
    <i r="1">
      <x v="4"/>
    </i>
    <i r="1">
      <x v="5"/>
    </i>
    <i r="1">
      <x v="6"/>
    </i>
    <i>
      <x v="1"/>
      <x/>
    </i>
    <i r="1">
      <x v="1"/>
    </i>
    <i r="1">
      <x v="2"/>
    </i>
    <i r="1">
      <x v="3"/>
    </i>
    <i r="1">
      <x v="4"/>
    </i>
    <i r="1">
      <x v="6"/>
    </i>
    <i>
      <x v="2"/>
      <x v="1"/>
    </i>
    <i r="1">
      <x v="2"/>
    </i>
    <i r="1">
      <x v="3"/>
    </i>
    <i r="1">
      <x v="5"/>
    </i>
    <i r="1">
      <x v="6"/>
    </i>
  </rowItems>
  <colItems count="1">
    <i/>
  </colItems>
  <dataFields count="1">
    <dataField name="Sum of SalesAmou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Name" xr10:uid="{D601BFCF-F7CE-48B6-8C9B-DC48E41173A0}" sourceName="[Table5].[RegionName]">
  <pivotTables>
    <pivotTable tabId="11" name="PivotTable5"/>
    <pivotTable tabId="6" name="PivotTable4"/>
    <pivotTable tabId="6" name="PivotTable5"/>
    <pivotTable tabId="6" name="PivotTable6"/>
    <pivotTable tabId="8" name="PivotTable6"/>
    <pivotTable tabId="8" name="PivotTable1"/>
  </pivotTables>
  <data>
    <olap pivotCacheId="1418138355">
      <levels count="2">
        <level uniqueName="[Table5].[RegionName].[(All)]" sourceCaption="(All)" count="0"/>
        <level uniqueName="[Table5].[RegionName].[RegionName]" sourceCaption="RegionName" count="4">
          <ranges>
            <range startItem="0">
              <i n="[Table5].[RegionName].&amp;[East]" c="East"/>
              <i n="[Table5].[RegionName].&amp;[North]" c="North"/>
              <i n="[Table5].[RegionName].&amp;[South]" c="South"/>
              <i n="[Table5].[RegionName].&amp;[West]" c="West"/>
            </range>
          </ranges>
        </level>
      </levels>
      <selections count="1">
        <selection n="[Table5].[RegionName].&amp;[Ea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2A589FF-02ED-4CAE-B228-C2EDE2C7F459}" sourceName="[Table3].[Category]">
  <pivotTables>
    <pivotTable tabId="11" name="PivotTable5"/>
    <pivotTable tabId="6" name="PivotTable4"/>
    <pivotTable tabId="6" name="PivotTable5"/>
    <pivotTable tabId="6" name="PivotTable6"/>
    <pivotTable tabId="8" name="PivotTable6"/>
    <pivotTable tabId="8" name="PivotTable1"/>
  </pivotTables>
  <data>
    <olap pivotCacheId="1418138355">
      <levels count="2">
        <level uniqueName="[Table3].[Category].[(All)]" sourceCaption="(All)" count="0"/>
        <level uniqueName="[Table3].[Category].[Category]" sourceCaption="Category" count="4">
          <ranges>
            <range startItem="0">
              <i n="[Table3].[Category].&amp;[Clothing]" c="Clothing"/>
              <i n="[Table3].[Category].&amp;[Electronics]" c="Electronics"/>
              <i n="[Table3].[Category].&amp;[Home]" c="Home"/>
              <i n="[Table3].[Category].&amp;[Office]" c="Office"/>
            </range>
          </ranges>
        </level>
      </levels>
      <selections count="1">
        <selection n="[Table3].[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Name" xr10:uid="{860A427D-5AC1-40F3-BD83-F47A277EE0F0}" cache="Slicer_RegionName" caption="RegionName" level="1" style="SlicerStyleDark6" rowHeight="396000"/>
  <slicer name="Category" xr10:uid="{AB6808D3-7DCC-4900-80E9-140659C66192}" cache="Slicer_Category" caption="Category" level="1" style="SlicerStyleLight4" rowHeight="46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273B9C-EA51-44A1-88DA-05AA0F926401}" name="Table1" displayName="Table1" ref="A1:G31" totalsRowShown="0">
  <autoFilter ref="A1:G31" xr:uid="{77273B9C-EA51-44A1-88DA-05AA0F926401}"/>
  <tableColumns count="7">
    <tableColumn id="1" xr3:uid="{DB95E1D1-A6BA-451F-97AD-D6E175E52854}" name="OrderID"/>
    <tableColumn id="2" xr3:uid="{28DEB3D9-0B1F-4B84-A4B4-929574E48DF3}" name="OrderDate" dataDxfId="1"/>
    <tableColumn id="3" xr3:uid="{BA92D3B6-D3D5-4A67-8287-A83F47967B12}" name="ProductID"/>
    <tableColumn id="4" xr3:uid="{7A37E12D-4B89-439E-8848-483645A293AE}" name="Quantity"/>
    <tableColumn id="5" xr3:uid="{96A1200D-670A-4344-9DCA-AC89B95A7A5C}" name="SalesAmount"/>
    <tableColumn id="6" xr3:uid="{07ACB346-B79B-4067-842F-E1444FE7E400}" name="Month">
      <calculatedColumnFormula>TEXT(B2,"MMMM")</calculatedColumnFormula>
    </tableColumn>
    <tableColumn id="7" xr3:uid="{7561A43E-7667-4F90-A773-E79AFD7DDA64}" name="WeekDay">
      <calculatedColumnFormula>TEXT(B2,"DDDD")</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58A6019-AF39-4207-A158-E411171E2AF1}" name="Table3" displayName="Table3" ref="A1:D31">
  <autoFilter ref="A1:D31" xr:uid="{358A6019-AF39-4207-A158-E411171E2AF1}"/>
  <tableColumns count="4">
    <tableColumn id="1" xr3:uid="{1E50EF59-520A-4D2A-A6EF-2DB6313C8E40}" name="ProductID" totalsRowLabel="Total"/>
    <tableColumn id="2" xr3:uid="{88488209-452B-40A3-9709-A77DC0344B47}" name="ProductName"/>
    <tableColumn id="3" xr3:uid="{8AC9C388-1E78-475E-8061-693721A6DE56}" name="Category" totalsRowFunction="count"/>
    <tableColumn id="5" xr3:uid="{8797BE6F-6660-4EB1-BA1C-ADBD9DB6A479}" name="Region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F138F4-2E66-40DD-BB84-B8EA475C8281}" name="Table13" displayName="Table13" ref="A1:G31" totalsRowShown="0">
  <autoFilter ref="A1:G31" xr:uid="{96F138F4-2E66-40DD-BB84-B8EA475C8281}"/>
  <tableColumns count="7">
    <tableColumn id="1" xr3:uid="{85739B57-4D75-4D19-BDED-1F07166A2252}" name="OrderID"/>
    <tableColumn id="2" xr3:uid="{F17CBF63-3825-43F1-BA73-EBF5771A706D}" name="OrderDate" dataDxfId="0"/>
    <tableColumn id="3" xr3:uid="{073316C4-D3FC-4A31-AD12-D8078D9A4CF4}" name="ProductID"/>
    <tableColumn id="4" xr3:uid="{C2F5A290-4F7E-4047-8DA7-0D032B296F2D}" name="Quantity"/>
    <tableColumn id="5" xr3:uid="{AE30D6BB-D136-4D85-AAE6-F852654C8B6D}" name="SalesAmount"/>
    <tableColumn id="6" xr3:uid="{6ADBC55A-141B-4C5C-8A5F-F70BDF2090E2}" name="Month">
      <calculatedColumnFormula>TEXT(B2,"MMMM")</calculatedColumnFormula>
    </tableColumn>
    <tableColumn id="7" xr3:uid="{76AE91BB-2CFB-4469-BC56-FADA3482DC58}" name="WeekDay">
      <calculatedColumnFormula>TEXT(B2,"DDDD")</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DD42F51-372B-40D4-A902-2F2E4A404657}" name="Table5" displayName="Table5" ref="A1:B31" totalsRowShown="0">
  <autoFilter ref="A1:B31" xr:uid="{9DD42F51-372B-40D4-A902-2F2E4A404657}"/>
  <tableColumns count="2">
    <tableColumn id="1" xr3:uid="{31B9CFE0-3607-4811-81A3-62ECAE0E4DB1}" name="RegionID"/>
    <tableColumn id="2" xr3:uid="{6D166F2B-34BF-4B3A-84A6-4FEBEB032778}" name="Region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E9C84-2798-40C6-8CBE-3159A32AD39A}">
  <dimension ref="A3:L28"/>
  <sheetViews>
    <sheetView workbookViewId="0">
      <selection activeCell="F11" sqref="F11"/>
    </sheetView>
  </sheetViews>
  <sheetFormatPr defaultRowHeight="14.4" x14ac:dyDescent="0.3"/>
  <cols>
    <col min="1" max="1" width="14" bestFit="1" customWidth="1"/>
    <col min="2" max="2" width="18.77734375" bestFit="1" customWidth="1"/>
    <col min="3" max="3" width="17.44140625" bestFit="1" customWidth="1"/>
    <col min="11" max="11" width="12.5546875" bestFit="1" customWidth="1"/>
    <col min="12" max="12" width="18.77734375" bestFit="1" customWidth="1"/>
  </cols>
  <sheetData>
    <row r="3" spans="1:12" x14ac:dyDescent="0.3">
      <c r="A3" s="2" t="s">
        <v>129</v>
      </c>
      <c r="B3" t="s">
        <v>128</v>
      </c>
      <c r="C3" t="s">
        <v>141</v>
      </c>
      <c r="K3" s="2" t="s">
        <v>129</v>
      </c>
      <c r="L3" t="s">
        <v>128</v>
      </c>
    </row>
    <row r="4" spans="1:12" x14ac:dyDescent="0.3">
      <c r="A4" s="3" t="s">
        <v>81</v>
      </c>
      <c r="B4">
        <v>13200</v>
      </c>
      <c r="C4">
        <v>3</v>
      </c>
      <c r="K4" s="3" t="s">
        <v>87</v>
      </c>
      <c r="L4">
        <v>264000</v>
      </c>
    </row>
    <row r="5" spans="1:12" x14ac:dyDescent="0.3">
      <c r="A5" s="3" t="s">
        <v>94</v>
      </c>
      <c r="B5">
        <v>6000</v>
      </c>
      <c r="C5">
        <v>1</v>
      </c>
      <c r="K5" s="3" t="s">
        <v>79</v>
      </c>
      <c r="L5">
        <v>131200</v>
      </c>
    </row>
    <row r="6" spans="1:12" x14ac:dyDescent="0.3">
      <c r="A6" s="3" t="s">
        <v>84</v>
      </c>
      <c r="B6">
        <v>27000</v>
      </c>
      <c r="C6">
        <v>2</v>
      </c>
      <c r="K6" s="3" t="s">
        <v>91</v>
      </c>
      <c r="L6">
        <v>48600</v>
      </c>
    </row>
    <row r="7" spans="1:12" x14ac:dyDescent="0.3">
      <c r="A7" s="3" t="s">
        <v>87</v>
      </c>
      <c r="B7">
        <v>264000</v>
      </c>
      <c r="C7">
        <v>2</v>
      </c>
      <c r="K7" s="3" t="s">
        <v>82</v>
      </c>
      <c r="L7">
        <v>220000</v>
      </c>
    </row>
    <row r="8" spans="1:12" x14ac:dyDescent="0.3">
      <c r="A8" s="3" t="s">
        <v>78</v>
      </c>
      <c r="B8">
        <v>9100</v>
      </c>
      <c r="C8">
        <v>1</v>
      </c>
      <c r="K8" s="3" t="s">
        <v>77</v>
      </c>
      <c r="L8">
        <v>238000</v>
      </c>
    </row>
    <row r="9" spans="1:12" x14ac:dyDescent="0.3">
      <c r="A9" s="3" t="s">
        <v>88</v>
      </c>
      <c r="B9">
        <v>3200</v>
      </c>
      <c r="C9">
        <v>1</v>
      </c>
      <c r="K9" s="3" t="s">
        <v>133</v>
      </c>
      <c r="L9">
        <v>901800</v>
      </c>
    </row>
    <row r="10" spans="1:12" x14ac:dyDescent="0.3">
      <c r="A10" s="3" t="s">
        <v>86</v>
      </c>
      <c r="B10">
        <v>37800</v>
      </c>
      <c r="C10">
        <v>2</v>
      </c>
    </row>
    <row r="11" spans="1:12" x14ac:dyDescent="0.3">
      <c r="A11" s="3" t="s">
        <v>79</v>
      </c>
      <c r="B11">
        <v>131200</v>
      </c>
      <c r="C11">
        <v>3</v>
      </c>
    </row>
    <row r="12" spans="1:12" x14ac:dyDescent="0.3">
      <c r="A12" s="3" t="s">
        <v>91</v>
      </c>
      <c r="B12">
        <v>48600</v>
      </c>
      <c r="C12">
        <v>2</v>
      </c>
    </row>
    <row r="13" spans="1:12" x14ac:dyDescent="0.3">
      <c r="A13" s="3" t="s">
        <v>83</v>
      </c>
      <c r="B13">
        <v>10800</v>
      </c>
      <c r="C13">
        <v>2</v>
      </c>
    </row>
    <row r="14" spans="1:12" x14ac:dyDescent="0.3">
      <c r="A14" s="3" t="s">
        <v>82</v>
      </c>
      <c r="B14">
        <v>220000</v>
      </c>
      <c r="C14">
        <v>1</v>
      </c>
    </row>
    <row r="15" spans="1:12" x14ac:dyDescent="0.3">
      <c r="A15" s="3" t="s">
        <v>89</v>
      </c>
      <c r="B15">
        <v>42000</v>
      </c>
      <c r="C15">
        <v>2</v>
      </c>
    </row>
    <row r="16" spans="1:12" x14ac:dyDescent="0.3">
      <c r="A16" s="3" t="s">
        <v>76</v>
      </c>
      <c r="B16">
        <v>900</v>
      </c>
      <c r="C16">
        <v>1</v>
      </c>
    </row>
    <row r="17" spans="1:3" x14ac:dyDescent="0.3">
      <c r="A17" s="3" t="s">
        <v>77</v>
      </c>
      <c r="B17">
        <v>238000</v>
      </c>
      <c r="C17">
        <v>2</v>
      </c>
    </row>
    <row r="18" spans="1:3" x14ac:dyDescent="0.3">
      <c r="A18" s="3" t="s">
        <v>93</v>
      </c>
      <c r="B18">
        <v>2800</v>
      </c>
      <c r="C18">
        <v>1</v>
      </c>
    </row>
    <row r="19" spans="1:3" x14ac:dyDescent="0.3">
      <c r="A19" s="3" t="s">
        <v>80</v>
      </c>
      <c r="B19">
        <v>7500</v>
      </c>
      <c r="C19">
        <v>1</v>
      </c>
    </row>
    <row r="20" spans="1:3" x14ac:dyDescent="0.3">
      <c r="A20" s="3" t="s">
        <v>85</v>
      </c>
      <c r="B20">
        <v>1950</v>
      </c>
      <c r="C20">
        <v>1</v>
      </c>
    </row>
    <row r="21" spans="1:3" x14ac:dyDescent="0.3">
      <c r="A21" s="3" t="s">
        <v>92</v>
      </c>
      <c r="B21">
        <v>1400</v>
      </c>
      <c r="C21">
        <v>1</v>
      </c>
    </row>
    <row r="22" spans="1:3" x14ac:dyDescent="0.3">
      <c r="A22" s="3" t="s">
        <v>90</v>
      </c>
      <c r="B22">
        <v>2800</v>
      </c>
      <c r="C22">
        <v>1</v>
      </c>
    </row>
    <row r="23" spans="1:3" x14ac:dyDescent="0.3">
      <c r="A23" s="3" t="s">
        <v>133</v>
      </c>
      <c r="B23">
        <v>1068250</v>
      </c>
      <c r="C23">
        <v>30</v>
      </c>
    </row>
    <row r="25" spans="1:3" x14ac:dyDescent="0.3">
      <c r="B25" t="s">
        <v>128</v>
      </c>
      <c r="C25" t="s">
        <v>141</v>
      </c>
    </row>
    <row r="26" spans="1:3" x14ac:dyDescent="0.3">
      <c r="B26">
        <v>1068250</v>
      </c>
      <c r="C26">
        <v>30</v>
      </c>
    </row>
    <row r="28" spans="1:3" x14ac:dyDescent="0.3">
      <c r="B28">
        <f>GETPIVOTDATA("[Measures].[Sum of SalesAmount]",$B$25)</f>
        <v>1068250</v>
      </c>
      <c r="C28">
        <f>GETPIVOTDATA("[Measures].[Count of ProductID 2]",$B$25)</f>
        <v>30</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50168-ECF4-4315-A081-737ADA7F6677}">
  <dimension ref="A3:K26"/>
  <sheetViews>
    <sheetView workbookViewId="0">
      <selection activeCell="C26" sqref="C26"/>
    </sheetView>
  </sheetViews>
  <sheetFormatPr defaultRowHeight="14.4" x14ac:dyDescent="0.3"/>
  <cols>
    <col min="1" max="1" width="14" bestFit="1" customWidth="1"/>
    <col min="2" max="2" width="18.77734375" bestFit="1" customWidth="1"/>
    <col min="3" max="3" width="17.44140625" bestFit="1" customWidth="1"/>
    <col min="9" max="9" width="14.44140625" bestFit="1" customWidth="1"/>
    <col min="10" max="10" width="9.88671875" bestFit="1" customWidth="1"/>
    <col min="11" max="11" width="13.109375" bestFit="1" customWidth="1"/>
  </cols>
  <sheetData>
    <row r="3" spans="1:11" x14ac:dyDescent="0.3">
      <c r="A3" s="2" t="s">
        <v>129</v>
      </c>
      <c r="B3" t="s">
        <v>128</v>
      </c>
    </row>
    <row r="4" spans="1:11" x14ac:dyDescent="0.3">
      <c r="A4" s="3" t="s">
        <v>81</v>
      </c>
      <c r="B4">
        <v>13200</v>
      </c>
    </row>
    <row r="5" spans="1:11" x14ac:dyDescent="0.3">
      <c r="A5" s="3" t="s">
        <v>94</v>
      </c>
      <c r="B5">
        <v>6000</v>
      </c>
    </row>
    <row r="6" spans="1:11" x14ac:dyDescent="0.3">
      <c r="A6" s="3" t="s">
        <v>84</v>
      </c>
      <c r="B6">
        <v>27000</v>
      </c>
      <c r="I6" s="2" t="s">
        <v>129</v>
      </c>
      <c r="J6" t="s">
        <v>145</v>
      </c>
      <c r="K6" t="s">
        <v>144</v>
      </c>
    </row>
    <row r="7" spans="1:11" x14ac:dyDescent="0.3">
      <c r="A7" s="3" t="s">
        <v>87</v>
      </c>
      <c r="B7">
        <v>264000</v>
      </c>
      <c r="I7" s="3" t="s">
        <v>131</v>
      </c>
      <c r="J7" s="15"/>
      <c r="K7" s="15"/>
    </row>
    <row r="8" spans="1:11" x14ac:dyDescent="0.3">
      <c r="A8" s="3" t="s">
        <v>78</v>
      </c>
      <c r="B8">
        <v>9100</v>
      </c>
      <c r="I8" s="4" t="s">
        <v>139</v>
      </c>
      <c r="J8" s="15">
        <v>3200</v>
      </c>
      <c r="K8" s="15">
        <v>1</v>
      </c>
    </row>
    <row r="9" spans="1:11" x14ac:dyDescent="0.3">
      <c r="A9" s="3" t="s">
        <v>88</v>
      </c>
      <c r="B9">
        <v>3200</v>
      </c>
      <c r="I9" s="4" t="s">
        <v>138</v>
      </c>
      <c r="J9" s="15">
        <v>127950</v>
      </c>
      <c r="K9" s="15">
        <v>3</v>
      </c>
    </row>
    <row r="10" spans="1:11" x14ac:dyDescent="0.3">
      <c r="A10" s="3" t="s">
        <v>86</v>
      </c>
      <c r="B10">
        <v>37800</v>
      </c>
      <c r="I10" s="4" t="s">
        <v>134</v>
      </c>
      <c r="J10" s="15">
        <v>138200</v>
      </c>
      <c r="K10" s="15">
        <v>2</v>
      </c>
    </row>
    <row r="11" spans="1:11" x14ac:dyDescent="0.3">
      <c r="A11" s="3" t="s">
        <v>79</v>
      </c>
      <c r="B11">
        <v>131200</v>
      </c>
      <c r="I11" s="4" t="s">
        <v>136</v>
      </c>
      <c r="J11" s="15">
        <v>62000</v>
      </c>
      <c r="K11" s="15">
        <v>2</v>
      </c>
    </row>
    <row r="12" spans="1:11" x14ac:dyDescent="0.3">
      <c r="A12" s="3" t="s">
        <v>91</v>
      </c>
      <c r="B12">
        <v>48600</v>
      </c>
      <c r="I12" s="4" t="s">
        <v>140</v>
      </c>
      <c r="J12" s="15">
        <v>236200</v>
      </c>
      <c r="K12" s="15">
        <v>2</v>
      </c>
    </row>
    <row r="13" spans="1:11" x14ac:dyDescent="0.3">
      <c r="A13" s="3" t="s">
        <v>83</v>
      </c>
      <c r="B13">
        <v>10800</v>
      </c>
      <c r="I13" s="4" t="s">
        <v>135</v>
      </c>
      <c r="J13" s="15">
        <v>16200</v>
      </c>
      <c r="K13" s="15">
        <v>2</v>
      </c>
    </row>
    <row r="14" spans="1:11" x14ac:dyDescent="0.3">
      <c r="A14" s="3" t="s">
        <v>82</v>
      </c>
      <c r="B14">
        <v>220000</v>
      </c>
      <c r="I14" s="3" t="s">
        <v>130</v>
      </c>
      <c r="J14" s="15"/>
      <c r="K14" s="15"/>
    </row>
    <row r="15" spans="1:11" x14ac:dyDescent="0.3">
      <c r="A15" s="3" t="s">
        <v>89</v>
      </c>
      <c r="B15">
        <v>42000</v>
      </c>
      <c r="I15" s="4" t="s">
        <v>137</v>
      </c>
      <c r="J15" s="15">
        <v>17900</v>
      </c>
      <c r="K15" s="15">
        <v>2</v>
      </c>
    </row>
    <row r="16" spans="1:11" x14ac:dyDescent="0.3">
      <c r="A16" s="3" t="s">
        <v>76</v>
      </c>
      <c r="B16">
        <v>900</v>
      </c>
      <c r="I16" s="4" t="s">
        <v>138</v>
      </c>
      <c r="J16" s="15">
        <v>54400</v>
      </c>
      <c r="K16" s="15">
        <v>1</v>
      </c>
    </row>
    <row r="17" spans="1:11" x14ac:dyDescent="0.3">
      <c r="A17" s="3" t="s">
        <v>77</v>
      </c>
      <c r="B17">
        <v>238000</v>
      </c>
      <c r="I17" s="4" t="s">
        <v>134</v>
      </c>
      <c r="J17" s="15">
        <v>7500</v>
      </c>
      <c r="K17" s="15">
        <v>1</v>
      </c>
    </row>
    <row r="18" spans="1:11" x14ac:dyDescent="0.3">
      <c r="A18" s="3" t="s">
        <v>93</v>
      </c>
      <c r="B18">
        <v>2800</v>
      </c>
      <c r="I18" s="4" t="s">
        <v>136</v>
      </c>
      <c r="J18" s="15">
        <v>102000</v>
      </c>
      <c r="K18" s="15">
        <v>1</v>
      </c>
    </row>
    <row r="19" spans="1:11" x14ac:dyDescent="0.3">
      <c r="A19" s="3" t="s">
        <v>80</v>
      </c>
      <c r="B19">
        <v>7500</v>
      </c>
      <c r="I19" s="4" t="s">
        <v>135</v>
      </c>
      <c r="J19" s="15">
        <v>900</v>
      </c>
      <c r="K19" s="15">
        <v>1</v>
      </c>
    </row>
    <row r="20" spans="1:11" x14ac:dyDescent="0.3">
      <c r="A20" s="3" t="s">
        <v>85</v>
      </c>
      <c r="B20">
        <v>1950</v>
      </c>
      <c r="I20" s="3" t="s">
        <v>132</v>
      </c>
      <c r="J20" s="15"/>
      <c r="K20" s="15"/>
    </row>
    <row r="21" spans="1:11" x14ac:dyDescent="0.3">
      <c r="A21" s="3" t="s">
        <v>92</v>
      </c>
      <c r="B21">
        <v>1400</v>
      </c>
      <c r="I21" s="4" t="s">
        <v>137</v>
      </c>
      <c r="J21" s="15">
        <v>6000</v>
      </c>
      <c r="K21" s="15">
        <v>1</v>
      </c>
    </row>
    <row r="22" spans="1:11" x14ac:dyDescent="0.3">
      <c r="A22" s="3" t="s">
        <v>90</v>
      </c>
      <c r="B22">
        <v>2800</v>
      </c>
      <c r="I22" s="4" t="s">
        <v>139</v>
      </c>
      <c r="J22" s="15">
        <v>209200</v>
      </c>
      <c r="K22" s="15">
        <v>5</v>
      </c>
    </row>
    <row r="23" spans="1:11" x14ac:dyDescent="0.3">
      <c r="A23" s="3" t="s">
        <v>133</v>
      </c>
      <c r="B23">
        <v>1068250</v>
      </c>
      <c r="I23" s="4" t="s">
        <v>138</v>
      </c>
      <c r="J23" s="15">
        <v>40600</v>
      </c>
      <c r="K23" s="15">
        <v>3</v>
      </c>
    </row>
    <row r="24" spans="1:11" x14ac:dyDescent="0.3">
      <c r="I24" s="4" t="s">
        <v>140</v>
      </c>
      <c r="J24" s="15">
        <v>43200</v>
      </c>
      <c r="K24" s="15">
        <v>2</v>
      </c>
    </row>
    <row r="25" spans="1:11" x14ac:dyDescent="0.3">
      <c r="I25" s="4" t="s">
        <v>135</v>
      </c>
      <c r="J25" s="15">
        <v>2800</v>
      </c>
      <c r="K25" s="15">
        <v>1</v>
      </c>
    </row>
    <row r="26" spans="1:11" x14ac:dyDescent="0.3">
      <c r="I26" s="3" t="s">
        <v>133</v>
      </c>
      <c r="J26" s="15">
        <v>1068250</v>
      </c>
      <c r="K26" s="15">
        <v>30</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8EB44-F1DB-455E-BE39-996274389C5C}">
  <dimension ref="A1"/>
  <sheetViews>
    <sheetView zoomScale="86" zoomScaleNormal="86" workbookViewId="0">
      <selection activeCell="X14" sqref="X14"/>
    </sheetView>
  </sheetViews>
  <sheetFormatPr defaultRowHeight="14.4" x14ac:dyDescent="0.3"/>
  <cols>
    <col min="1" max="1" width="13.88671875" style="14" bestFit="1" customWidth="1"/>
    <col min="2" max="2" width="18.77734375" style="14" bestFit="1" customWidth="1"/>
    <col min="3" max="16384" width="8.88671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FA364-34DA-4FC1-A571-86BBFB04EEF8}">
  <dimension ref="A3:B12"/>
  <sheetViews>
    <sheetView workbookViewId="0">
      <selection activeCell="I23" sqref="I23"/>
    </sheetView>
  </sheetViews>
  <sheetFormatPr defaultRowHeight="14.4" x14ac:dyDescent="0.3"/>
  <cols>
    <col min="1" max="1" width="12.5546875" bestFit="1" customWidth="1"/>
    <col min="2" max="2" width="18.77734375" bestFit="1" customWidth="1"/>
    <col min="3" max="3" width="19.77734375" bestFit="1" customWidth="1"/>
  </cols>
  <sheetData>
    <row r="3" spans="1:2" x14ac:dyDescent="0.3">
      <c r="A3" s="2" t="s">
        <v>129</v>
      </c>
      <c r="B3" t="s">
        <v>128</v>
      </c>
    </row>
    <row r="4" spans="1:2" x14ac:dyDescent="0.3">
      <c r="A4" s="3" t="s">
        <v>73</v>
      </c>
      <c r="B4" s="15"/>
    </row>
    <row r="5" spans="1:2" x14ac:dyDescent="0.3">
      <c r="A5" s="4" t="s">
        <v>38</v>
      </c>
      <c r="B5" s="15">
        <v>187750</v>
      </c>
    </row>
    <row r="6" spans="1:2" x14ac:dyDescent="0.3">
      <c r="A6" s="3" t="s">
        <v>75</v>
      </c>
      <c r="B6" s="15"/>
    </row>
    <row r="7" spans="1:2" x14ac:dyDescent="0.3">
      <c r="A7" s="4" t="s">
        <v>38</v>
      </c>
      <c r="B7" s="15">
        <v>313400</v>
      </c>
    </row>
    <row r="8" spans="1:2" x14ac:dyDescent="0.3">
      <c r="A8" s="3" t="s">
        <v>74</v>
      </c>
      <c r="B8" s="15"/>
    </row>
    <row r="9" spans="1:2" x14ac:dyDescent="0.3">
      <c r="A9" s="4" t="s">
        <v>38</v>
      </c>
      <c r="B9" s="15">
        <v>55100</v>
      </c>
    </row>
    <row r="10" spans="1:2" x14ac:dyDescent="0.3">
      <c r="A10" s="3" t="s">
        <v>72</v>
      </c>
      <c r="B10" s="15"/>
    </row>
    <row r="11" spans="1:2" x14ac:dyDescent="0.3">
      <c r="A11" s="4" t="s">
        <v>38</v>
      </c>
      <c r="B11" s="15">
        <v>512000</v>
      </c>
    </row>
    <row r="12" spans="1:2" x14ac:dyDescent="0.3">
      <c r="A12" s="3" t="s">
        <v>133</v>
      </c>
      <c r="B12" s="15">
        <v>1068250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469D9-3553-4394-8704-E441447424DD}">
  <dimension ref="A3:D55"/>
  <sheetViews>
    <sheetView workbookViewId="0">
      <selection activeCell="M10" sqref="M10"/>
    </sheetView>
  </sheetViews>
  <sheetFormatPr defaultRowHeight="14.4" x14ac:dyDescent="0.3"/>
  <cols>
    <col min="1" max="1" width="14.44140625" bestFit="1" customWidth="1"/>
    <col min="2" max="2" width="18.77734375" bestFit="1" customWidth="1"/>
    <col min="3" max="3" width="17.44140625" bestFit="1" customWidth="1"/>
    <col min="11" max="11" width="12.5546875" bestFit="1" customWidth="1"/>
    <col min="12" max="12" width="18.77734375" bestFit="1" customWidth="1"/>
    <col min="13" max="13" width="12.5546875" bestFit="1" customWidth="1"/>
    <col min="14" max="14" width="18.77734375" bestFit="1" customWidth="1"/>
  </cols>
  <sheetData>
    <row r="3" spans="1:2" x14ac:dyDescent="0.3">
      <c r="A3" s="2" t="s">
        <v>129</v>
      </c>
      <c r="B3" t="s">
        <v>128</v>
      </c>
    </row>
    <row r="4" spans="1:2" x14ac:dyDescent="0.3">
      <c r="A4" s="3" t="s">
        <v>130</v>
      </c>
      <c r="B4">
        <v>182700</v>
      </c>
    </row>
    <row r="5" spans="1:2" x14ac:dyDescent="0.3">
      <c r="A5" s="4" t="s">
        <v>134</v>
      </c>
      <c r="B5">
        <v>7500</v>
      </c>
    </row>
    <row r="6" spans="1:2" x14ac:dyDescent="0.3">
      <c r="A6" s="4" t="s">
        <v>135</v>
      </c>
      <c r="B6">
        <v>900</v>
      </c>
    </row>
    <row r="7" spans="1:2" x14ac:dyDescent="0.3">
      <c r="A7" s="4" t="s">
        <v>136</v>
      </c>
      <c r="B7">
        <v>102000</v>
      </c>
    </row>
    <row r="8" spans="1:2" x14ac:dyDescent="0.3">
      <c r="A8" s="4" t="s">
        <v>137</v>
      </c>
      <c r="B8">
        <v>17900</v>
      </c>
    </row>
    <row r="9" spans="1:2" x14ac:dyDescent="0.3">
      <c r="A9" s="4" t="s">
        <v>138</v>
      </c>
      <c r="B9">
        <v>54400</v>
      </c>
    </row>
    <row r="10" spans="1:2" x14ac:dyDescent="0.3">
      <c r="A10" s="3" t="s">
        <v>131</v>
      </c>
      <c r="B10">
        <v>583750</v>
      </c>
    </row>
    <row r="11" spans="1:2" x14ac:dyDescent="0.3">
      <c r="A11" s="4" t="s">
        <v>134</v>
      </c>
      <c r="B11">
        <v>138200</v>
      </c>
    </row>
    <row r="12" spans="1:2" x14ac:dyDescent="0.3">
      <c r="A12" s="4" t="s">
        <v>139</v>
      </c>
      <c r="B12">
        <v>3200</v>
      </c>
    </row>
    <row r="13" spans="1:2" x14ac:dyDescent="0.3">
      <c r="A13" s="4" t="s">
        <v>140</v>
      </c>
      <c r="B13">
        <v>236200</v>
      </c>
    </row>
    <row r="14" spans="1:2" x14ac:dyDescent="0.3">
      <c r="A14" s="4" t="s">
        <v>135</v>
      </c>
      <c r="B14">
        <v>16200</v>
      </c>
    </row>
    <row r="15" spans="1:2" x14ac:dyDescent="0.3">
      <c r="A15" s="4" t="s">
        <v>136</v>
      </c>
      <c r="B15">
        <v>62000</v>
      </c>
    </row>
    <row r="16" spans="1:2" x14ac:dyDescent="0.3">
      <c r="A16" s="4" t="s">
        <v>138</v>
      </c>
      <c r="B16">
        <v>127950</v>
      </c>
    </row>
    <row r="17" spans="1:2" x14ac:dyDescent="0.3">
      <c r="A17" s="3" t="s">
        <v>132</v>
      </c>
      <c r="B17">
        <v>301800</v>
      </c>
    </row>
    <row r="18" spans="1:2" x14ac:dyDescent="0.3">
      <c r="A18" s="4" t="s">
        <v>139</v>
      </c>
      <c r="B18">
        <v>209200</v>
      </c>
    </row>
    <row r="19" spans="1:2" x14ac:dyDescent="0.3">
      <c r="A19" s="4" t="s">
        <v>140</v>
      </c>
      <c r="B19">
        <v>43200</v>
      </c>
    </row>
    <row r="20" spans="1:2" x14ac:dyDescent="0.3">
      <c r="A20" s="4" t="s">
        <v>135</v>
      </c>
      <c r="B20">
        <v>2800</v>
      </c>
    </row>
    <row r="21" spans="1:2" x14ac:dyDescent="0.3">
      <c r="A21" s="4" t="s">
        <v>137</v>
      </c>
      <c r="B21">
        <v>6000</v>
      </c>
    </row>
    <row r="22" spans="1:2" x14ac:dyDescent="0.3">
      <c r="A22" s="4" t="s">
        <v>138</v>
      </c>
      <c r="B22">
        <v>40600</v>
      </c>
    </row>
    <row r="23" spans="1:2" x14ac:dyDescent="0.3">
      <c r="A23" s="3" t="s">
        <v>133</v>
      </c>
      <c r="B23">
        <v>1068250</v>
      </c>
    </row>
    <row r="38" spans="2:4" x14ac:dyDescent="0.3">
      <c r="B38" s="5"/>
      <c r="C38" s="6"/>
      <c r="D38" s="7"/>
    </row>
    <row r="39" spans="2:4" x14ac:dyDescent="0.3">
      <c r="B39" s="8"/>
      <c r="C39" s="9"/>
      <c r="D39" s="10"/>
    </row>
    <row r="40" spans="2:4" x14ac:dyDescent="0.3">
      <c r="B40" s="8"/>
      <c r="C40" s="9"/>
      <c r="D40" s="10"/>
    </row>
    <row r="41" spans="2:4" x14ac:dyDescent="0.3">
      <c r="B41" s="8"/>
      <c r="C41" s="9"/>
      <c r="D41" s="10"/>
    </row>
    <row r="42" spans="2:4" x14ac:dyDescent="0.3">
      <c r="B42" s="8"/>
      <c r="C42" s="9"/>
      <c r="D42" s="10"/>
    </row>
    <row r="43" spans="2:4" x14ac:dyDescent="0.3">
      <c r="B43" s="8"/>
      <c r="C43" s="9"/>
      <c r="D43" s="10"/>
    </row>
    <row r="44" spans="2:4" x14ac:dyDescent="0.3">
      <c r="B44" s="8"/>
      <c r="C44" s="9"/>
      <c r="D44" s="10"/>
    </row>
    <row r="45" spans="2:4" x14ac:dyDescent="0.3">
      <c r="B45" s="8"/>
      <c r="C45" s="9"/>
      <c r="D45" s="10"/>
    </row>
    <row r="46" spans="2:4" x14ac:dyDescent="0.3">
      <c r="B46" s="8"/>
      <c r="C46" s="9"/>
      <c r="D46" s="10"/>
    </row>
    <row r="47" spans="2:4" x14ac:dyDescent="0.3">
      <c r="B47" s="8"/>
      <c r="C47" s="9"/>
      <c r="D47" s="10"/>
    </row>
    <row r="48" spans="2:4" x14ac:dyDescent="0.3">
      <c r="B48" s="8"/>
      <c r="C48" s="9"/>
      <c r="D48" s="10"/>
    </row>
    <row r="49" spans="2:4" x14ac:dyDescent="0.3">
      <c r="B49" s="8"/>
      <c r="C49" s="9"/>
      <c r="D49" s="10"/>
    </row>
    <row r="50" spans="2:4" x14ac:dyDescent="0.3">
      <c r="B50" s="8"/>
      <c r="C50" s="9"/>
      <c r="D50" s="10"/>
    </row>
    <row r="51" spans="2:4" x14ac:dyDescent="0.3">
      <c r="B51" s="8"/>
      <c r="C51" s="9"/>
      <c r="D51" s="10"/>
    </row>
    <row r="52" spans="2:4" x14ac:dyDescent="0.3">
      <c r="B52" s="8"/>
      <c r="C52" s="9"/>
      <c r="D52" s="10"/>
    </row>
    <row r="53" spans="2:4" x14ac:dyDescent="0.3">
      <c r="B53" s="8"/>
      <c r="C53" s="9"/>
      <c r="D53" s="10"/>
    </row>
    <row r="54" spans="2:4" x14ac:dyDescent="0.3">
      <c r="B54" s="8"/>
      <c r="C54" s="9"/>
      <c r="D54" s="10"/>
    </row>
    <row r="55" spans="2:4" x14ac:dyDescent="0.3">
      <c r="B55" s="11"/>
      <c r="C55" s="12"/>
      <c r="D55" s="13"/>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E99C3-8714-457E-AAB1-1622AB8CB2B4}">
  <dimension ref="A1:G31"/>
  <sheetViews>
    <sheetView workbookViewId="0">
      <selection activeCell="G21" sqref="G21"/>
    </sheetView>
  </sheetViews>
  <sheetFormatPr defaultRowHeight="14.4" x14ac:dyDescent="0.3"/>
  <cols>
    <col min="1" max="1" width="10.21875" customWidth="1"/>
    <col min="2" max="2" width="16.44140625" style="1" customWidth="1"/>
    <col min="3" max="3" width="11.33203125" customWidth="1"/>
    <col min="4" max="4" width="10.77734375" customWidth="1"/>
    <col min="5" max="5" width="14" customWidth="1"/>
    <col min="6" max="6" width="11.5546875" customWidth="1"/>
    <col min="7" max="7" width="13.77734375" customWidth="1"/>
  </cols>
  <sheetData>
    <row r="1" spans="1:7" x14ac:dyDescent="0.3">
      <c r="A1" t="s">
        <v>0</v>
      </c>
      <c r="B1" s="1" t="s">
        <v>1</v>
      </c>
      <c r="C1" t="s">
        <v>2</v>
      </c>
      <c r="D1" t="s">
        <v>3</v>
      </c>
      <c r="E1" t="s">
        <v>4</v>
      </c>
      <c r="F1" t="s">
        <v>125</v>
      </c>
      <c r="G1" t="s">
        <v>127</v>
      </c>
    </row>
    <row r="2" spans="1:7" x14ac:dyDescent="0.3">
      <c r="A2" t="s">
        <v>9</v>
      </c>
      <c r="B2" s="1">
        <v>45658</v>
      </c>
      <c r="C2" t="s">
        <v>95</v>
      </c>
      <c r="D2">
        <v>5</v>
      </c>
      <c r="E2">
        <v>900</v>
      </c>
      <c r="F2" t="str">
        <f>TEXT(B2,"MMMM")</f>
        <v>January</v>
      </c>
      <c r="G2" t="str">
        <f>TEXT(B2,"DDDD")</f>
        <v>Wednesday</v>
      </c>
    </row>
    <row r="3" spans="1:7" x14ac:dyDescent="0.3">
      <c r="A3" t="s">
        <v>10</v>
      </c>
      <c r="B3" s="1">
        <v>45666</v>
      </c>
      <c r="C3" t="s">
        <v>96</v>
      </c>
      <c r="D3">
        <v>12</v>
      </c>
      <c r="E3">
        <v>102000</v>
      </c>
      <c r="F3" t="str">
        <f t="shared" ref="F3:F31" si="0">TEXT(B3,"MMMM")</f>
        <v>January</v>
      </c>
      <c r="G3" t="str">
        <f t="shared" ref="G3:G31" si="1">TEXT(B3,"DDDD")</f>
        <v>Thursday</v>
      </c>
    </row>
    <row r="4" spans="1:7" x14ac:dyDescent="0.3">
      <c r="A4" t="s">
        <v>11</v>
      </c>
      <c r="B4" s="1">
        <v>45667</v>
      </c>
      <c r="C4" t="s">
        <v>97</v>
      </c>
      <c r="D4">
        <v>14</v>
      </c>
      <c r="E4">
        <v>9100</v>
      </c>
      <c r="F4" t="str">
        <f t="shared" si="0"/>
        <v>January</v>
      </c>
      <c r="G4" t="str">
        <f t="shared" si="1"/>
        <v>Friday</v>
      </c>
    </row>
    <row r="5" spans="1:7" x14ac:dyDescent="0.3">
      <c r="A5" t="s">
        <v>12</v>
      </c>
      <c r="B5" s="1">
        <v>45668</v>
      </c>
      <c r="C5" t="s">
        <v>98</v>
      </c>
      <c r="D5">
        <v>17</v>
      </c>
      <c r="E5">
        <v>54400</v>
      </c>
      <c r="F5" t="str">
        <f t="shared" si="0"/>
        <v>January</v>
      </c>
      <c r="G5" t="str">
        <f t="shared" si="1"/>
        <v>Saturday</v>
      </c>
    </row>
    <row r="6" spans="1:7" x14ac:dyDescent="0.3">
      <c r="A6" t="s">
        <v>13</v>
      </c>
      <c r="B6" s="1">
        <v>45669</v>
      </c>
      <c r="C6" t="s">
        <v>99</v>
      </c>
      <c r="D6">
        <v>5</v>
      </c>
      <c r="E6">
        <v>7500</v>
      </c>
      <c r="F6" t="str">
        <f t="shared" si="0"/>
        <v>January</v>
      </c>
      <c r="G6" t="str">
        <f t="shared" si="1"/>
        <v>Sunday</v>
      </c>
    </row>
    <row r="7" spans="1:7" x14ac:dyDescent="0.3">
      <c r="A7" t="s">
        <v>14</v>
      </c>
      <c r="B7" s="1">
        <v>45674</v>
      </c>
      <c r="C7" t="s">
        <v>100</v>
      </c>
      <c r="D7">
        <v>4</v>
      </c>
      <c r="E7">
        <v>8800</v>
      </c>
      <c r="F7" t="str">
        <f t="shared" si="0"/>
        <v>January</v>
      </c>
      <c r="G7" t="str">
        <f t="shared" si="1"/>
        <v>Friday</v>
      </c>
    </row>
    <row r="8" spans="1:7" x14ac:dyDescent="0.3">
      <c r="A8" t="s">
        <v>15</v>
      </c>
      <c r="B8" s="1">
        <v>45690</v>
      </c>
      <c r="C8" t="s">
        <v>101</v>
      </c>
      <c r="D8">
        <v>16</v>
      </c>
      <c r="E8">
        <v>136000</v>
      </c>
      <c r="F8" t="str">
        <f t="shared" si="0"/>
        <v>February</v>
      </c>
      <c r="G8" t="str">
        <f t="shared" si="1"/>
        <v>Sunday</v>
      </c>
    </row>
    <row r="9" spans="1:7" x14ac:dyDescent="0.3">
      <c r="A9" t="s">
        <v>16</v>
      </c>
      <c r="B9" s="1">
        <v>45692</v>
      </c>
      <c r="C9" t="s">
        <v>102</v>
      </c>
      <c r="D9">
        <v>4</v>
      </c>
      <c r="E9">
        <v>220000</v>
      </c>
      <c r="F9" t="str">
        <f t="shared" si="0"/>
        <v>February</v>
      </c>
      <c r="G9" t="str">
        <f t="shared" si="1"/>
        <v>Tuesday</v>
      </c>
    </row>
    <row r="10" spans="1:7" x14ac:dyDescent="0.3">
      <c r="A10" t="s">
        <v>17</v>
      </c>
      <c r="B10" s="1">
        <v>45693</v>
      </c>
      <c r="C10" t="s">
        <v>103</v>
      </c>
      <c r="D10">
        <v>6</v>
      </c>
      <c r="E10">
        <v>7200</v>
      </c>
      <c r="F10" t="str">
        <f t="shared" si="0"/>
        <v>February</v>
      </c>
      <c r="G10" t="str">
        <f t="shared" si="1"/>
        <v>Wednesday</v>
      </c>
    </row>
    <row r="11" spans="1:7" x14ac:dyDescent="0.3">
      <c r="A11" t="s">
        <v>18</v>
      </c>
      <c r="B11" s="1">
        <v>45696</v>
      </c>
      <c r="C11" t="s">
        <v>104</v>
      </c>
      <c r="D11">
        <v>4</v>
      </c>
      <c r="E11">
        <v>18000</v>
      </c>
      <c r="F11" t="str">
        <f t="shared" si="0"/>
        <v>February</v>
      </c>
      <c r="G11" t="str">
        <f t="shared" si="1"/>
        <v>Saturday</v>
      </c>
    </row>
    <row r="12" spans="1:7" x14ac:dyDescent="0.3">
      <c r="A12" t="s">
        <v>19</v>
      </c>
      <c r="B12" s="1">
        <v>45696</v>
      </c>
      <c r="C12" t="s">
        <v>105</v>
      </c>
      <c r="D12">
        <v>3</v>
      </c>
      <c r="E12">
        <v>1950</v>
      </c>
      <c r="F12" t="str">
        <f t="shared" si="0"/>
        <v>February</v>
      </c>
      <c r="G12" t="str">
        <f t="shared" si="1"/>
        <v>Saturday</v>
      </c>
    </row>
    <row r="13" spans="1:7" x14ac:dyDescent="0.3">
      <c r="A13" t="s">
        <v>20</v>
      </c>
      <c r="B13" s="1">
        <v>45699</v>
      </c>
      <c r="C13" t="s">
        <v>106</v>
      </c>
      <c r="D13">
        <v>9</v>
      </c>
      <c r="E13">
        <v>16200</v>
      </c>
      <c r="F13" t="str">
        <f t="shared" si="0"/>
        <v>February</v>
      </c>
      <c r="G13" t="str">
        <f t="shared" si="1"/>
        <v>Tuesday</v>
      </c>
    </row>
    <row r="14" spans="1:7" x14ac:dyDescent="0.3">
      <c r="A14" t="s">
        <v>21</v>
      </c>
      <c r="B14" s="1">
        <v>45700</v>
      </c>
      <c r="C14" t="s">
        <v>107</v>
      </c>
      <c r="D14">
        <v>2</v>
      </c>
      <c r="E14">
        <v>9000</v>
      </c>
      <c r="F14" t="str">
        <f t="shared" si="0"/>
        <v>February</v>
      </c>
      <c r="G14" t="str">
        <f t="shared" si="1"/>
        <v>Wednesday</v>
      </c>
    </row>
    <row r="15" spans="1:7" x14ac:dyDescent="0.3">
      <c r="A15" t="s">
        <v>22</v>
      </c>
      <c r="B15" s="1">
        <v>45704</v>
      </c>
      <c r="C15" t="s">
        <v>108</v>
      </c>
      <c r="D15">
        <v>1</v>
      </c>
      <c r="E15">
        <v>2200</v>
      </c>
      <c r="F15" t="str">
        <f t="shared" si="0"/>
        <v>February</v>
      </c>
      <c r="G15" t="str">
        <f t="shared" si="1"/>
        <v>Sunday</v>
      </c>
    </row>
    <row r="16" spans="1:7" x14ac:dyDescent="0.3">
      <c r="A16" t="s">
        <v>23</v>
      </c>
      <c r="B16" s="1">
        <v>45708</v>
      </c>
      <c r="C16" t="s">
        <v>109</v>
      </c>
      <c r="D16">
        <v>15</v>
      </c>
      <c r="E16">
        <v>48000</v>
      </c>
      <c r="F16" t="str">
        <f t="shared" si="0"/>
        <v>February</v>
      </c>
      <c r="G16" t="str">
        <f t="shared" si="1"/>
        <v>Thursday</v>
      </c>
    </row>
    <row r="17" spans="1:7" x14ac:dyDescent="0.3">
      <c r="A17" t="s">
        <v>24</v>
      </c>
      <c r="B17" s="1">
        <v>45710</v>
      </c>
      <c r="C17" t="s">
        <v>110</v>
      </c>
      <c r="D17">
        <v>9</v>
      </c>
      <c r="E17">
        <v>108000</v>
      </c>
      <c r="F17" t="str">
        <f t="shared" si="0"/>
        <v>February</v>
      </c>
      <c r="G17" t="str">
        <f t="shared" si="1"/>
        <v>Saturday</v>
      </c>
    </row>
    <row r="18" spans="1:7" x14ac:dyDescent="0.3">
      <c r="A18" t="s">
        <v>25</v>
      </c>
      <c r="B18" s="1">
        <v>45712</v>
      </c>
      <c r="C18" t="s">
        <v>111</v>
      </c>
      <c r="D18">
        <v>2</v>
      </c>
      <c r="E18">
        <v>3200</v>
      </c>
      <c r="F18" t="str">
        <f t="shared" si="0"/>
        <v>February</v>
      </c>
      <c r="G18" t="str">
        <f t="shared" si="1"/>
        <v>Monday</v>
      </c>
    </row>
    <row r="19" spans="1:7" x14ac:dyDescent="0.3">
      <c r="A19" t="s">
        <v>26</v>
      </c>
      <c r="B19" s="1">
        <v>45715</v>
      </c>
      <c r="C19" t="s">
        <v>112</v>
      </c>
      <c r="D19">
        <v>1</v>
      </c>
      <c r="E19">
        <v>14000</v>
      </c>
      <c r="F19" t="str">
        <f t="shared" si="0"/>
        <v>February</v>
      </c>
      <c r="G19" t="str">
        <f t="shared" si="1"/>
        <v>Thursday</v>
      </c>
    </row>
    <row r="20" spans="1:7" x14ac:dyDescent="0.3">
      <c r="A20" t="s">
        <v>27</v>
      </c>
      <c r="B20" s="1">
        <v>45717</v>
      </c>
      <c r="C20" t="s">
        <v>113</v>
      </c>
      <c r="D20">
        <v>4</v>
      </c>
      <c r="E20">
        <v>2800</v>
      </c>
      <c r="F20" t="str">
        <f t="shared" si="0"/>
        <v>March</v>
      </c>
      <c r="G20" t="str">
        <f t="shared" si="1"/>
        <v>Saturday</v>
      </c>
    </row>
    <row r="21" spans="1:7" x14ac:dyDescent="0.3">
      <c r="A21" t="s">
        <v>28</v>
      </c>
      <c r="B21" s="1">
        <v>45717</v>
      </c>
      <c r="C21" t="s">
        <v>114</v>
      </c>
      <c r="D21">
        <v>5</v>
      </c>
      <c r="E21">
        <v>9000</v>
      </c>
      <c r="F21" t="str">
        <f t="shared" si="0"/>
        <v>March</v>
      </c>
      <c r="G21" t="str">
        <f t="shared" si="1"/>
        <v>Saturday</v>
      </c>
    </row>
    <row r="22" spans="1:7" x14ac:dyDescent="0.3">
      <c r="A22" t="s">
        <v>29</v>
      </c>
      <c r="B22" s="1">
        <v>45717</v>
      </c>
      <c r="C22" t="s">
        <v>115</v>
      </c>
      <c r="D22">
        <v>9</v>
      </c>
      <c r="E22">
        <v>28800</v>
      </c>
      <c r="F22" t="str">
        <f t="shared" si="0"/>
        <v>March</v>
      </c>
      <c r="G22" t="str">
        <f t="shared" si="1"/>
        <v>Saturday</v>
      </c>
    </row>
    <row r="23" spans="1:7" x14ac:dyDescent="0.3">
      <c r="A23" t="s">
        <v>30</v>
      </c>
      <c r="B23" s="1">
        <v>45719</v>
      </c>
      <c r="C23" t="s">
        <v>116</v>
      </c>
      <c r="D23">
        <v>12</v>
      </c>
      <c r="E23">
        <v>21600</v>
      </c>
      <c r="F23" t="str">
        <f t="shared" si="0"/>
        <v>March</v>
      </c>
      <c r="G23" t="str">
        <f t="shared" si="1"/>
        <v>Monday</v>
      </c>
    </row>
    <row r="24" spans="1:7" x14ac:dyDescent="0.3">
      <c r="A24" t="s">
        <v>31</v>
      </c>
      <c r="B24" s="1">
        <v>45719</v>
      </c>
      <c r="C24" t="s">
        <v>117</v>
      </c>
      <c r="D24">
        <v>2</v>
      </c>
      <c r="E24">
        <v>1400</v>
      </c>
      <c r="F24" t="str">
        <f t="shared" si="0"/>
        <v>March</v>
      </c>
      <c r="G24" t="str">
        <f t="shared" si="1"/>
        <v>Monday</v>
      </c>
    </row>
    <row r="25" spans="1:7" x14ac:dyDescent="0.3">
      <c r="A25" t="s">
        <v>32</v>
      </c>
      <c r="B25" s="1">
        <v>45720</v>
      </c>
      <c r="C25" t="s">
        <v>118</v>
      </c>
      <c r="D25">
        <v>22</v>
      </c>
      <c r="E25">
        <v>39600</v>
      </c>
      <c r="F25" t="str">
        <f t="shared" si="0"/>
        <v>March</v>
      </c>
      <c r="G25" t="str">
        <f t="shared" si="1"/>
        <v>Tuesday</v>
      </c>
    </row>
    <row r="26" spans="1:7" x14ac:dyDescent="0.3">
      <c r="A26" t="s">
        <v>33</v>
      </c>
      <c r="B26" s="1">
        <v>45726</v>
      </c>
      <c r="C26" t="s">
        <v>119</v>
      </c>
      <c r="D26">
        <v>13</v>
      </c>
      <c r="E26">
        <v>156000</v>
      </c>
      <c r="F26" t="str">
        <f t="shared" si="0"/>
        <v>March</v>
      </c>
      <c r="G26" t="str">
        <f t="shared" si="1"/>
        <v>Monday</v>
      </c>
    </row>
    <row r="27" spans="1:7" x14ac:dyDescent="0.3">
      <c r="A27" t="s">
        <v>34</v>
      </c>
      <c r="B27" s="1">
        <v>45735</v>
      </c>
      <c r="C27" t="s">
        <v>120</v>
      </c>
      <c r="D27">
        <v>1</v>
      </c>
      <c r="E27">
        <v>2800</v>
      </c>
      <c r="F27" t="str">
        <f t="shared" si="0"/>
        <v>March</v>
      </c>
      <c r="G27" t="str">
        <f t="shared" si="1"/>
        <v>Wednesday</v>
      </c>
    </row>
    <row r="28" spans="1:7" x14ac:dyDescent="0.3">
      <c r="A28" t="s">
        <v>35</v>
      </c>
      <c r="B28" s="1">
        <v>45737</v>
      </c>
      <c r="C28" t="s">
        <v>121</v>
      </c>
      <c r="D28">
        <v>5</v>
      </c>
      <c r="E28">
        <v>6000</v>
      </c>
      <c r="F28" t="str">
        <f t="shared" si="0"/>
        <v>March</v>
      </c>
      <c r="G28" t="str">
        <f t="shared" si="1"/>
        <v>Friday</v>
      </c>
    </row>
    <row r="29" spans="1:7" x14ac:dyDescent="0.3">
      <c r="A29" t="s">
        <v>36</v>
      </c>
      <c r="B29" s="1">
        <v>45740</v>
      </c>
      <c r="C29" t="s">
        <v>122</v>
      </c>
      <c r="D29">
        <v>1</v>
      </c>
      <c r="E29">
        <v>2200</v>
      </c>
      <c r="F29" t="str">
        <f t="shared" si="0"/>
        <v>March</v>
      </c>
      <c r="G29" t="str">
        <f t="shared" si="1"/>
        <v>Monday</v>
      </c>
    </row>
    <row r="30" spans="1:7" x14ac:dyDescent="0.3">
      <c r="A30" t="s">
        <v>37</v>
      </c>
      <c r="B30" s="1">
        <v>45740</v>
      </c>
      <c r="C30" t="s">
        <v>123</v>
      </c>
      <c r="D30">
        <v>2</v>
      </c>
      <c r="E30">
        <v>28000</v>
      </c>
      <c r="F30" t="str">
        <f t="shared" si="0"/>
        <v>March</v>
      </c>
      <c r="G30" t="str">
        <f t="shared" si="1"/>
        <v>Monday</v>
      </c>
    </row>
    <row r="31" spans="1:7" x14ac:dyDescent="0.3">
      <c r="A31" t="s">
        <v>126</v>
      </c>
      <c r="B31" s="1">
        <v>45741</v>
      </c>
      <c r="C31" t="s">
        <v>124</v>
      </c>
      <c r="D31">
        <v>3</v>
      </c>
      <c r="E31">
        <v>3600</v>
      </c>
      <c r="F31" t="str">
        <f t="shared" si="0"/>
        <v>March</v>
      </c>
      <c r="G31" t="str">
        <f t="shared" si="1"/>
        <v>Tuesday</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2097A-108B-4C36-94C6-895BB001D42D}">
  <dimension ref="A1:D31"/>
  <sheetViews>
    <sheetView workbookViewId="0">
      <selection activeCell="F2" sqref="F2"/>
    </sheetView>
  </sheetViews>
  <sheetFormatPr defaultRowHeight="14.4" x14ac:dyDescent="0.3"/>
  <cols>
    <col min="1" max="3" width="10.44140625" customWidth="1"/>
  </cols>
  <sheetData>
    <row r="1" spans="1:4" x14ac:dyDescent="0.3">
      <c r="A1" t="s">
        <v>2</v>
      </c>
      <c r="B1" t="s">
        <v>5</v>
      </c>
      <c r="C1" t="s">
        <v>6</v>
      </c>
      <c r="D1" t="s">
        <v>7</v>
      </c>
    </row>
    <row r="2" spans="1:4" x14ac:dyDescent="0.3">
      <c r="A2" t="s">
        <v>95</v>
      </c>
      <c r="B2" t="s">
        <v>76</v>
      </c>
      <c r="C2" t="s">
        <v>72</v>
      </c>
      <c r="D2" t="s">
        <v>42</v>
      </c>
    </row>
    <row r="3" spans="1:4" x14ac:dyDescent="0.3">
      <c r="A3" t="s">
        <v>96</v>
      </c>
      <c r="B3" t="s">
        <v>77</v>
      </c>
      <c r="C3" t="s">
        <v>72</v>
      </c>
      <c r="D3" t="s">
        <v>43</v>
      </c>
    </row>
    <row r="4" spans="1:4" x14ac:dyDescent="0.3">
      <c r="A4" t="s">
        <v>97</v>
      </c>
      <c r="B4" t="s">
        <v>78</v>
      </c>
      <c r="C4" t="s">
        <v>72</v>
      </c>
      <c r="D4" t="s">
        <v>44</v>
      </c>
    </row>
    <row r="5" spans="1:4" x14ac:dyDescent="0.3">
      <c r="A5" t="s">
        <v>98</v>
      </c>
      <c r="B5" t="s">
        <v>79</v>
      </c>
      <c r="C5" t="s">
        <v>73</v>
      </c>
      <c r="D5" t="s">
        <v>45</v>
      </c>
    </row>
    <row r="6" spans="1:4" x14ac:dyDescent="0.3">
      <c r="A6" t="s">
        <v>99</v>
      </c>
      <c r="B6" t="s">
        <v>80</v>
      </c>
      <c r="C6" t="s">
        <v>74</v>
      </c>
      <c r="D6" t="s">
        <v>46</v>
      </c>
    </row>
    <row r="7" spans="1:4" x14ac:dyDescent="0.3">
      <c r="A7" t="s">
        <v>100</v>
      </c>
      <c r="B7" t="s">
        <v>81</v>
      </c>
      <c r="C7" t="s">
        <v>74</v>
      </c>
      <c r="D7" t="s">
        <v>47</v>
      </c>
    </row>
    <row r="8" spans="1:4" x14ac:dyDescent="0.3">
      <c r="A8" t="s">
        <v>101</v>
      </c>
      <c r="B8" t="s">
        <v>77</v>
      </c>
      <c r="C8" t="s">
        <v>72</v>
      </c>
      <c r="D8" t="s">
        <v>48</v>
      </c>
    </row>
    <row r="9" spans="1:4" x14ac:dyDescent="0.3">
      <c r="A9" t="s">
        <v>102</v>
      </c>
      <c r="B9" t="s">
        <v>82</v>
      </c>
      <c r="C9" t="s">
        <v>75</v>
      </c>
      <c r="D9" t="s">
        <v>49</v>
      </c>
    </row>
    <row r="10" spans="1:4" x14ac:dyDescent="0.3">
      <c r="A10" t="s">
        <v>103</v>
      </c>
      <c r="B10" t="s">
        <v>83</v>
      </c>
      <c r="C10" t="s">
        <v>75</v>
      </c>
      <c r="D10" t="s">
        <v>50</v>
      </c>
    </row>
    <row r="11" spans="1:4" x14ac:dyDescent="0.3">
      <c r="A11" t="s">
        <v>104</v>
      </c>
      <c r="B11" t="s">
        <v>84</v>
      </c>
      <c r="C11" t="s">
        <v>74</v>
      </c>
      <c r="D11" t="s">
        <v>51</v>
      </c>
    </row>
    <row r="12" spans="1:4" x14ac:dyDescent="0.3">
      <c r="A12" t="s">
        <v>105</v>
      </c>
      <c r="B12" t="s">
        <v>85</v>
      </c>
      <c r="C12" t="s">
        <v>73</v>
      </c>
      <c r="D12" t="s">
        <v>52</v>
      </c>
    </row>
    <row r="13" spans="1:4" x14ac:dyDescent="0.3">
      <c r="A13" t="s">
        <v>106</v>
      </c>
      <c r="B13" t="s">
        <v>86</v>
      </c>
      <c r="C13" t="s">
        <v>75</v>
      </c>
      <c r="D13" t="s">
        <v>53</v>
      </c>
    </row>
    <row r="14" spans="1:4" x14ac:dyDescent="0.3">
      <c r="A14" t="s">
        <v>107</v>
      </c>
      <c r="B14" t="s">
        <v>84</v>
      </c>
      <c r="C14" t="s">
        <v>74</v>
      </c>
      <c r="D14" t="s">
        <v>54</v>
      </c>
    </row>
    <row r="15" spans="1:4" x14ac:dyDescent="0.3">
      <c r="A15" t="s">
        <v>108</v>
      </c>
      <c r="B15" t="s">
        <v>81</v>
      </c>
      <c r="C15" t="s">
        <v>74</v>
      </c>
      <c r="D15" t="s">
        <v>55</v>
      </c>
    </row>
    <row r="16" spans="1:4" x14ac:dyDescent="0.3">
      <c r="A16" t="s">
        <v>109</v>
      </c>
      <c r="B16" t="s">
        <v>79</v>
      </c>
      <c r="C16" t="s">
        <v>73</v>
      </c>
      <c r="D16" t="s">
        <v>56</v>
      </c>
    </row>
    <row r="17" spans="1:4" x14ac:dyDescent="0.3">
      <c r="A17" t="s">
        <v>110</v>
      </c>
      <c r="B17" t="s">
        <v>87</v>
      </c>
      <c r="C17" t="s">
        <v>72</v>
      </c>
      <c r="D17" t="s">
        <v>57</v>
      </c>
    </row>
    <row r="18" spans="1:4" x14ac:dyDescent="0.3">
      <c r="A18" t="s">
        <v>111</v>
      </c>
      <c r="B18" t="s">
        <v>88</v>
      </c>
      <c r="C18" t="s">
        <v>73</v>
      </c>
      <c r="D18" t="s">
        <v>58</v>
      </c>
    </row>
    <row r="19" spans="1:4" x14ac:dyDescent="0.3">
      <c r="A19" t="s">
        <v>112</v>
      </c>
      <c r="B19" t="s">
        <v>89</v>
      </c>
      <c r="C19" t="s">
        <v>75</v>
      </c>
      <c r="D19" t="s">
        <v>59</v>
      </c>
    </row>
    <row r="20" spans="1:4" x14ac:dyDescent="0.3">
      <c r="A20" t="s">
        <v>113</v>
      </c>
      <c r="B20" t="s">
        <v>90</v>
      </c>
      <c r="C20" t="s">
        <v>75</v>
      </c>
      <c r="D20" t="s">
        <v>60</v>
      </c>
    </row>
    <row r="21" spans="1:4" x14ac:dyDescent="0.3">
      <c r="A21" t="s">
        <v>114</v>
      </c>
      <c r="B21" t="s">
        <v>91</v>
      </c>
      <c r="C21" t="s">
        <v>73</v>
      </c>
      <c r="D21" t="s">
        <v>61</v>
      </c>
    </row>
    <row r="22" spans="1:4" x14ac:dyDescent="0.3">
      <c r="A22" t="s">
        <v>115</v>
      </c>
      <c r="B22" t="s">
        <v>79</v>
      </c>
      <c r="C22" t="s">
        <v>73</v>
      </c>
      <c r="D22" t="s">
        <v>62</v>
      </c>
    </row>
    <row r="23" spans="1:4" x14ac:dyDescent="0.3">
      <c r="A23" t="s">
        <v>116</v>
      </c>
      <c r="B23" t="s">
        <v>86</v>
      </c>
      <c r="C23" t="s">
        <v>75</v>
      </c>
      <c r="D23" t="s">
        <v>63</v>
      </c>
    </row>
    <row r="24" spans="1:4" x14ac:dyDescent="0.3">
      <c r="A24" t="s">
        <v>117</v>
      </c>
      <c r="B24" t="s">
        <v>92</v>
      </c>
      <c r="C24" t="s">
        <v>74</v>
      </c>
      <c r="D24" t="s">
        <v>64</v>
      </c>
    </row>
    <row r="25" spans="1:4" x14ac:dyDescent="0.3">
      <c r="A25" t="s">
        <v>118</v>
      </c>
      <c r="B25" t="s">
        <v>91</v>
      </c>
      <c r="C25" t="s">
        <v>73</v>
      </c>
      <c r="D25" t="s">
        <v>65</v>
      </c>
    </row>
    <row r="26" spans="1:4" x14ac:dyDescent="0.3">
      <c r="A26" t="s">
        <v>119</v>
      </c>
      <c r="B26" t="s">
        <v>87</v>
      </c>
      <c r="C26" t="s">
        <v>72</v>
      </c>
      <c r="D26" t="s">
        <v>66</v>
      </c>
    </row>
    <row r="27" spans="1:4" x14ac:dyDescent="0.3">
      <c r="A27" t="s">
        <v>120</v>
      </c>
      <c r="B27" t="s">
        <v>93</v>
      </c>
      <c r="C27" t="s">
        <v>73</v>
      </c>
      <c r="D27" t="s">
        <v>67</v>
      </c>
    </row>
    <row r="28" spans="1:4" x14ac:dyDescent="0.3">
      <c r="A28" t="s">
        <v>121</v>
      </c>
      <c r="B28" t="s">
        <v>94</v>
      </c>
      <c r="C28" t="s">
        <v>74</v>
      </c>
      <c r="D28" t="s">
        <v>68</v>
      </c>
    </row>
    <row r="29" spans="1:4" x14ac:dyDescent="0.3">
      <c r="A29" t="s">
        <v>122</v>
      </c>
      <c r="B29" t="s">
        <v>81</v>
      </c>
      <c r="C29" t="s">
        <v>74</v>
      </c>
      <c r="D29" t="s">
        <v>69</v>
      </c>
    </row>
    <row r="30" spans="1:4" x14ac:dyDescent="0.3">
      <c r="A30" t="s">
        <v>123</v>
      </c>
      <c r="B30" t="s">
        <v>89</v>
      </c>
      <c r="C30" t="s">
        <v>75</v>
      </c>
      <c r="D30" t="s">
        <v>70</v>
      </c>
    </row>
    <row r="31" spans="1:4" x14ac:dyDescent="0.3">
      <c r="A31" t="s">
        <v>124</v>
      </c>
      <c r="B31" t="s">
        <v>83</v>
      </c>
      <c r="C31" t="s">
        <v>75</v>
      </c>
      <c r="D31" t="s">
        <v>71</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0B714-4F92-4AC9-A95E-CB21B6D47C8A}">
  <dimension ref="A3:B6"/>
  <sheetViews>
    <sheetView workbookViewId="0">
      <selection activeCell="O13" sqref="O13"/>
    </sheetView>
  </sheetViews>
  <sheetFormatPr defaultRowHeight="14.4" x14ac:dyDescent="0.3"/>
  <cols>
    <col min="1" max="1" width="9" bestFit="1" customWidth="1"/>
    <col min="2" max="2" width="18.77734375" bestFit="1" customWidth="1"/>
  </cols>
  <sheetData>
    <row r="3" spans="1:2" x14ac:dyDescent="0.3">
      <c r="A3" s="2" t="s">
        <v>125</v>
      </c>
      <c r="B3" t="s">
        <v>128</v>
      </c>
    </row>
    <row r="4" spans="1:2" x14ac:dyDescent="0.3">
      <c r="A4" t="s">
        <v>130</v>
      </c>
      <c r="B4">
        <v>182700</v>
      </c>
    </row>
    <row r="5" spans="1:2" x14ac:dyDescent="0.3">
      <c r="A5" t="s">
        <v>131</v>
      </c>
      <c r="B5">
        <v>583750</v>
      </c>
    </row>
    <row r="6" spans="1:2" x14ac:dyDescent="0.3">
      <c r="A6" t="s">
        <v>132</v>
      </c>
      <c r="B6">
        <v>301800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147A0-DE89-4581-8973-AD9A95A3BAC0}">
  <dimension ref="A3:D11"/>
  <sheetViews>
    <sheetView workbookViewId="0">
      <selection activeCell="C4" sqref="C4"/>
    </sheetView>
  </sheetViews>
  <sheetFormatPr defaultRowHeight="14.4" x14ac:dyDescent="0.3"/>
  <cols>
    <col min="1" max="1" width="12.88671875" bestFit="1" customWidth="1"/>
    <col min="2" max="2" width="14.88671875" bestFit="1" customWidth="1"/>
    <col min="3" max="3" width="18.77734375" bestFit="1" customWidth="1"/>
    <col min="4" max="4" width="15.44140625" bestFit="1" customWidth="1"/>
  </cols>
  <sheetData>
    <row r="3" spans="1:4" x14ac:dyDescent="0.3">
      <c r="A3" s="2" t="s">
        <v>129</v>
      </c>
      <c r="B3" t="s">
        <v>142</v>
      </c>
      <c r="C3" t="s">
        <v>128</v>
      </c>
      <c r="D3" t="s">
        <v>143</v>
      </c>
    </row>
    <row r="4" spans="1:4" x14ac:dyDescent="0.3">
      <c r="A4" s="3" t="s">
        <v>134</v>
      </c>
      <c r="B4">
        <v>22</v>
      </c>
      <c r="C4">
        <v>145700</v>
      </c>
      <c r="D4">
        <v>3</v>
      </c>
    </row>
    <row r="5" spans="1:4" x14ac:dyDescent="0.3">
      <c r="A5" s="3" t="s">
        <v>139</v>
      </c>
      <c r="B5">
        <v>32</v>
      </c>
      <c r="C5">
        <v>212400</v>
      </c>
      <c r="D5">
        <v>6</v>
      </c>
    </row>
    <row r="6" spans="1:4" x14ac:dyDescent="0.3">
      <c r="A6" s="3" t="s">
        <v>140</v>
      </c>
      <c r="B6">
        <v>38</v>
      </c>
      <c r="C6">
        <v>279400</v>
      </c>
      <c r="D6">
        <v>4</v>
      </c>
    </row>
    <row r="7" spans="1:4" x14ac:dyDescent="0.3">
      <c r="A7" s="3" t="s">
        <v>135</v>
      </c>
      <c r="B7">
        <v>14</v>
      </c>
      <c r="C7">
        <v>19900</v>
      </c>
      <c r="D7">
        <v>4</v>
      </c>
    </row>
    <row r="8" spans="1:4" x14ac:dyDescent="0.3">
      <c r="A8" s="3" t="s">
        <v>136</v>
      </c>
      <c r="B8">
        <v>28</v>
      </c>
      <c r="C8">
        <v>164000</v>
      </c>
      <c r="D8">
        <v>3</v>
      </c>
    </row>
    <row r="9" spans="1:4" x14ac:dyDescent="0.3">
      <c r="A9" s="3" t="s">
        <v>137</v>
      </c>
      <c r="B9">
        <v>23</v>
      </c>
      <c r="C9">
        <v>23900</v>
      </c>
      <c r="D9">
        <v>3</v>
      </c>
    </row>
    <row r="10" spans="1:4" x14ac:dyDescent="0.3">
      <c r="A10" s="3" t="s">
        <v>138</v>
      </c>
      <c r="B10">
        <v>51</v>
      </c>
      <c r="C10">
        <v>222950</v>
      </c>
      <c r="D10">
        <v>7</v>
      </c>
    </row>
    <row r="11" spans="1:4" x14ac:dyDescent="0.3">
      <c r="A11" s="3" t="s">
        <v>133</v>
      </c>
      <c r="B11">
        <v>208</v>
      </c>
      <c r="C11">
        <v>1068250</v>
      </c>
      <c r="D11">
        <v>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0204-CA5D-4DC0-BD0B-FC459513972C}">
  <dimension ref="A3:C19"/>
  <sheetViews>
    <sheetView workbookViewId="0">
      <selection activeCell="G26" sqref="G26"/>
    </sheetView>
  </sheetViews>
  <sheetFormatPr defaultRowHeight="14.4" x14ac:dyDescent="0.3"/>
  <cols>
    <col min="1" max="1" width="12.6640625" customWidth="1"/>
    <col min="2" max="2" width="15.5546875" customWidth="1"/>
    <col min="3" max="3" width="18.77734375" bestFit="1" customWidth="1"/>
  </cols>
  <sheetData>
    <row r="3" spans="1:3" x14ac:dyDescent="0.3">
      <c r="A3" s="2" t="s">
        <v>125</v>
      </c>
      <c r="B3" s="2" t="s">
        <v>127</v>
      </c>
      <c r="C3" t="s">
        <v>128</v>
      </c>
    </row>
    <row r="4" spans="1:3" x14ac:dyDescent="0.3">
      <c r="A4" t="s">
        <v>130</v>
      </c>
      <c r="B4" t="s">
        <v>134</v>
      </c>
      <c r="C4">
        <v>7500</v>
      </c>
    </row>
    <row r="5" spans="1:3" x14ac:dyDescent="0.3">
      <c r="A5" t="s">
        <v>130</v>
      </c>
      <c r="B5" t="s">
        <v>135</v>
      </c>
      <c r="C5">
        <v>900</v>
      </c>
    </row>
    <row r="6" spans="1:3" x14ac:dyDescent="0.3">
      <c r="A6" t="s">
        <v>130</v>
      </c>
      <c r="B6" t="s">
        <v>136</v>
      </c>
      <c r="C6">
        <v>102000</v>
      </c>
    </row>
    <row r="7" spans="1:3" x14ac:dyDescent="0.3">
      <c r="A7" t="s">
        <v>130</v>
      </c>
      <c r="B7" t="s">
        <v>137</v>
      </c>
      <c r="C7">
        <v>17900</v>
      </c>
    </row>
    <row r="8" spans="1:3" x14ac:dyDescent="0.3">
      <c r="A8" t="s">
        <v>130</v>
      </c>
      <c r="B8" t="s">
        <v>138</v>
      </c>
      <c r="C8">
        <v>54400</v>
      </c>
    </row>
    <row r="9" spans="1:3" x14ac:dyDescent="0.3">
      <c r="A9" t="s">
        <v>131</v>
      </c>
      <c r="B9" t="s">
        <v>134</v>
      </c>
      <c r="C9">
        <v>138200</v>
      </c>
    </row>
    <row r="10" spans="1:3" x14ac:dyDescent="0.3">
      <c r="A10" t="s">
        <v>131</v>
      </c>
      <c r="B10" t="s">
        <v>139</v>
      </c>
      <c r="C10">
        <v>3200</v>
      </c>
    </row>
    <row r="11" spans="1:3" x14ac:dyDescent="0.3">
      <c r="A11" t="s">
        <v>131</v>
      </c>
      <c r="B11" t="s">
        <v>140</v>
      </c>
      <c r="C11">
        <v>236200</v>
      </c>
    </row>
    <row r="12" spans="1:3" x14ac:dyDescent="0.3">
      <c r="A12" t="s">
        <v>131</v>
      </c>
      <c r="B12" t="s">
        <v>135</v>
      </c>
      <c r="C12">
        <v>16200</v>
      </c>
    </row>
    <row r="13" spans="1:3" x14ac:dyDescent="0.3">
      <c r="A13" t="s">
        <v>131</v>
      </c>
      <c r="B13" t="s">
        <v>136</v>
      </c>
      <c r="C13">
        <v>62000</v>
      </c>
    </row>
    <row r="14" spans="1:3" x14ac:dyDescent="0.3">
      <c r="A14" t="s">
        <v>131</v>
      </c>
      <c r="B14" t="s">
        <v>138</v>
      </c>
      <c r="C14">
        <v>127950</v>
      </c>
    </row>
    <row r="15" spans="1:3" x14ac:dyDescent="0.3">
      <c r="A15" t="s">
        <v>132</v>
      </c>
      <c r="B15" t="s">
        <v>139</v>
      </c>
      <c r="C15">
        <v>209200</v>
      </c>
    </row>
    <row r="16" spans="1:3" x14ac:dyDescent="0.3">
      <c r="A16" t="s">
        <v>132</v>
      </c>
      <c r="B16" t="s">
        <v>140</v>
      </c>
      <c r="C16">
        <v>43200</v>
      </c>
    </row>
    <row r="17" spans="1:3" x14ac:dyDescent="0.3">
      <c r="A17" t="s">
        <v>132</v>
      </c>
      <c r="B17" t="s">
        <v>135</v>
      </c>
      <c r="C17">
        <v>2800</v>
      </c>
    </row>
    <row r="18" spans="1:3" x14ac:dyDescent="0.3">
      <c r="A18" t="s">
        <v>132</v>
      </c>
      <c r="B18" t="s">
        <v>137</v>
      </c>
      <c r="C18">
        <v>6000</v>
      </c>
    </row>
    <row r="19" spans="1:3" x14ac:dyDescent="0.3">
      <c r="A19" t="s">
        <v>132</v>
      </c>
      <c r="B19" t="s">
        <v>138</v>
      </c>
      <c r="C19">
        <v>40600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4EF3E-B5F1-4681-8FF3-7AAAE7B0C416}">
  <dimension ref="A1:G31"/>
  <sheetViews>
    <sheetView topLeftCell="A2" workbookViewId="0">
      <selection activeCell="K20" sqref="K20"/>
    </sheetView>
  </sheetViews>
  <sheetFormatPr defaultRowHeight="14.4" x14ac:dyDescent="0.3"/>
  <cols>
    <col min="2" max="2" width="12.109375" customWidth="1"/>
    <col min="3" max="3" width="13.5546875" customWidth="1"/>
    <col min="4" max="4" width="13.109375" customWidth="1"/>
    <col min="5" max="5" width="11.6640625" customWidth="1"/>
    <col min="6" max="6" width="11.21875" customWidth="1"/>
  </cols>
  <sheetData>
    <row r="1" spans="1:7" x14ac:dyDescent="0.3">
      <c r="A1" t="s">
        <v>0</v>
      </c>
      <c r="B1" s="1" t="s">
        <v>1</v>
      </c>
      <c r="C1" t="s">
        <v>2</v>
      </c>
      <c r="D1" t="s">
        <v>3</v>
      </c>
      <c r="E1" t="s">
        <v>4</v>
      </c>
      <c r="F1" t="s">
        <v>125</v>
      </c>
      <c r="G1" t="s">
        <v>127</v>
      </c>
    </row>
    <row r="2" spans="1:7" x14ac:dyDescent="0.3">
      <c r="A2" t="s">
        <v>9</v>
      </c>
      <c r="B2" s="1">
        <v>45658</v>
      </c>
      <c r="C2" t="s">
        <v>95</v>
      </c>
      <c r="D2">
        <v>5</v>
      </c>
      <c r="E2">
        <v>900</v>
      </c>
      <c r="F2" t="str">
        <f>TEXT(B2,"MMMM")</f>
        <v>January</v>
      </c>
      <c r="G2" t="str">
        <f>TEXT(B2,"DDDD")</f>
        <v>Wednesday</v>
      </c>
    </row>
    <row r="3" spans="1:7" x14ac:dyDescent="0.3">
      <c r="A3" t="s">
        <v>10</v>
      </c>
      <c r="B3" s="1">
        <v>45666</v>
      </c>
      <c r="C3" t="s">
        <v>96</v>
      </c>
      <c r="D3">
        <v>12</v>
      </c>
      <c r="E3">
        <v>102000</v>
      </c>
      <c r="F3" t="str">
        <f t="shared" ref="F3:F31" si="0">TEXT(B3,"MMMM")</f>
        <v>January</v>
      </c>
      <c r="G3" t="str">
        <f t="shared" ref="G3:G31" si="1">TEXT(B3,"DDDD")</f>
        <v>Thursday</v>
      </c>
    </row>
    <row r="4" spans="1:7" x14ac:dyDescent="0.3">
      <c r="A4" t="s">
        <v>11</v>
      </c>
      <c r="B4" s="1">
        <v>45667</v>
      </c>
      <c r="C4" t="s">
        <v>97</v>
      </c>
      <c r="D4">
        <v>14</v>
      </c>
      <c r="E4">
        <v>9100</v>
      </c>
      <c r="F4" t="str">
        <f t="shared" si="0"/>
        <v>January</v>
      </c>
      <c r="G4" t="str">
        <f t="shared" si="1"/>
        <v>Friday</v>
      </c>
    </row>
    <row r="5" spans="1:7" x14ac:dyDescent="0.3">
      <c r="A5" t="s">
        <v>12</v>
      </c>
      <c r="B5" s="1">
        <v>45668</v>
      </c>
      <c r="C5" t="s">
        <v>98</v>
      </c>
      <c r="D5">
        <v>17</v>
      </c>
      <c r="E5">
        <v>54400</v>
      </c>
      <c r="F5" t="str">
        <f t="shared" si="0"/>
        <v>January</v>
      </c>
      <c r="G5" t="str">
        <f t="shared" si="1"/>
        <v>Saturday</v>
      </c>
    </row>
    <row r="6" spans="1:7" x14ac:dyDescent="0.3">
      <c r="A6" t="s">
        <v>13</v>
      </c>
      <c r="B6" s="1">
        <v>45669</v>
      </c>
      <c r="C6" t="s">
        <v>99</v>
      </c>
      <c r="D6">
        <v>5</v>
      </c>
      <c r="E6">
        <v>7500</v>
      </c>
      <c r="F6" t="str">
        <f t="shared" si="0"/>
        <v>January</v>
      </c>
      <c r="G6" t="str">
        <f t="shared" si="1"/>
        <v>Sunday</v>
      </c>
    </row>
    <row r="7" spans="1:7" x14ac:dyDescent="0.3">
      <c r="A7" t="s">
        <v>14</v>
      </c>
      <c r="B7" s="1">
        <v>45674</v>
      </c>
      <c r="C7" t="s">
        <v>100</v>
      </c>
      <c r="D7">
        <v>4</v>
      </c>
      <c r="E7">
        <v>8800</v>
      </c>
      <c r="F7" t="str">
        <f t="shared" si="0"/>
        <v>January</v>
      </c>
      <c r="G7" t="str">
        <f t="shared" si="1"/>
        <v>Friday</v>
      </c>
    </row>
    <row r="8" spans="1:7" x14ac:dyDescent="0.3">
      <c r="A8" t="s">
        <v>15</v>
      </c>
      <c r="B8" s="1">
        <v>45690</v>
      </c>
      <c r="C8" t="s">
        <v>101</v>
      </c>
      <c r="D8">
        <v>16</v>
      </c>
      <c r="E8">
        <v>136000</v>
      </c>
      <c r="F8" t="str">
        <f t="shared" si="0"/>
        <v>February</v>
      </c>
      <c r="G8" t="str">
        <f t="shared" si="1"/>
        <v>Sunday</v>
      </c>
    </row>
    <row r="9" spans="1:7" x14ac:dyDescent="0.3">
      <c r="A9" t="s">
        <v>16</v>
      </c>
      <c r="B9" s="1">
        <v>45692</v>
      </c>
      <c r="C9" t="s">
        <v>102</v>
      </c>
      <c r="D9">
        <v>4</v>
      </c>
      <c r="E9">
        <v>220000</v>
      </c>
      <c r="F9" t="str">
        <f t="shared" si="0"/>
        <v>February</v>
      </c>
      <c r="G9" t="str">
        <f t="shared" si="1"/>
        <v>Tuesday</v>
      </c>
    </row>
    <row r="10" spans="1:7" x14ac:dyDescent="0.3">
      <c r="A10" t="s">
        <v>17</v>
      </c>
      <c r="B10" s="1">
        <v>45693</v>
      </c>
      <c r="C10" t="s">
        <v>103</v>
      </c>
      <c r="D10">
        <v>6</v>
      </c>
      <c r="E10">
        <v>7200</v>
      </c>
      <c r="F10" t="str">
        <f t="shared" si="0"/>
        <v>February</v>
      </c>
      <c r="G10" t="str">
        <f t="shared" si="1"/>
        <v>Wednesday</v>
      </c>
    </row>
    <row r="11" spans="1:7" x14ac:dyDescent="0.3">
      <c r="A11" t="s">
        <v>18</v>
      </c>
      <c r="B11" s="1">
        <v>45696</v>
      </c>
      <c r="C11" t="s">
        <v>104</v>
      </c>
      <c r="D11">
        <v>4</v>
      </c>
      <c r="E11">
        <v>18000</v>
      </c>
      <c r="F11" t="str">
        <f t="shared" si="0"/>
        <v>February</v>
      </c>
      <c r="G11" t="str">
        <f t="shared" si="1"/>
        <v>Saturday</v>
      </c>
    </row>
    <row r="12" spans="1:7" x14ac:dyDescent="0.3">
      <c r="A12" t="s">
        <v>19</v>
      </c>
      <c r="B12" s="1">
        <v>45696</v>
      </c>
      <c r="C12" t="s">
        <v>105</v>
      </c>
      <c r="D12">
        <v>3</v>
      </c>
      <c r="E12">
        <v>1950</v>
      </c>
      <c r="F12" t="str">
        <f t="shared" si="0"/>
        <v>February</v>
      </c>
      <c r="G12" t="str">
        <f t="shared" si="1"/>
        <v>Saturday</v>
      </c>
    </row>
    <row r="13" spans="1:7" x14ac:dyDescent="0.3">
      <c r="A13" t="s">
        <v>20</v>
      </c>
      <c r="B13" s="1">
        <v>45699</v>
      </c>
      <c r="C13" t="s">
        <v>106</v>
      </c>
      <c r="D13">
        <v>9</v>
      </c>
      <c r="E13">
        <v>16200</v>
      </c>
      <c r="F13" t="str">
        <f t="shared" si="0"/>
        <v>February</v>
      </c>
      <c r="G13" t="str">
        <f t="shared" si="1"/>
        <v>Tuesday</v>
      </c>
    </row>
    <row r="14" spans="1:7" x14ac:dyDescent="0.3">
      <c r="A14" t="s">
        <v>21</v>
      </c>
      <c r="B14" s="1">
        <v>45700</v>
      </c>
      <c r="C14" t="s">
        <v>107</v>
      </c>
      <c r="D14">
        <v>2</v>
      </c>
      <c r="E14">
        <v>9000</v>
      </c>
      <c r="F14" t="str">
        <f t="shared" si="0"/>
        <v>February</v>
      </c>
      <c r="G14" t="str">
        <f t="shared" si="1"/>
        <v>Wednesday</v>
      </c>
    </row>
    <row r="15" spans="1:7" x14ac:dyDescent="0.3">
      <c r="A15" t="s">
        <v>22</v>
      </c>
      <c r="B15" s="1">
        <v>45704</v>
      </c>
      <c r="C15" t="s">
        <v>108</v>
      </c>
      <c r="D15">
        <v>1</v>
      </c>
      <c r="E15">
        <v>2200</v>
      </c>
      <c r="F15" t="str">
        <f t="shared" si="0"/>
        <v>February</v>
      </c>
      <c r="G15" t="str">
        <f t="shared" si="1"/>
        <v>Sunday</v>
      </c>
    </row>
    <row r="16" spans="1:7" x14ac:dyDescent="0.3">
      <c r="A16" t="s">
        <v>23</v>
      </c>
      <c r="B16" s="1">
        <v>45708</v>
      </c>
      <c r="C16" t="s">
        <v>109</v>
      </c>
      <c r="D16">
        <v>15</v>
      </c>
      <c r="E16">
        <v>48000</v>
      </c>
      <c r="F16" t="str">
        <f t="shared" si="0"/>
        <v>February</v>
      </c>
      <c r="G16" t="str">
        <f t="shared" si="1"/>
        <v>Thursday</v>
      </c>
    </row>
    <row r="17" spans="1:7" x14ac:dyDescent="0.3">
      <c r="A17" t="s">
        <v>24</v>
      </c>
      <c r="B17" s="1">
        <v>45710</v>
      </c>
      <c r="C17" t="s">
        <v>110</v>
      </c>
      <c r="D17">
        <v>9</v>
      </c>
      <c r="E17">
        <v>108000</v>
      </c>
      <c r="F17" t="str">
        <f t="shared" si="0"/>
        <v>February</v>
      </c>
      <c r="G17" t="str">
        <f t="shared" si="1"/>
        <v>Saturday</v>
      </c>
    </row>
    <row r="18" spans="1:7" x14ac:dyDescent="0.3">
      <c r="A18" t="s">
        <v>25</v>
      </c>
      <c r="B18" s="1">
        <v>45712</v>
      </c>
      <c r="C18" t="s">
        <v>111</v>
      </c>
      <c r="D18">
        <v>2</v>
      </c>
      <c r="E18">
        <v>3200</v>
      </c>
      <c r="F18" t="str">
        <f t="shared" si="0"/>
        <v>February</v>
      </c>
      <c r="G18" t="str">
        <f t="shared" si="1"/>
        <v>Monday</v>
      </c>
    </row>
    <row r="19" spans="1:7" x14ac:dyDescent="0.3">
      <c r="A19" t="s">
        <v>26</v>
      </c>
      <c r="B19" s="1">
        <v>45715</v>
      </c>
      <c r="C19" t="s">
        <v>112</v>
      </c>
      <c r="D19">
        <v>1</v>
      </c>
      <c r="E19">
        <v>14000</v>
      </c>
      <c r="F19" t="str">
        <f t="shared" si="0"/>
        <v>February</v>
      </c>
      <c r="G19" t="str">
        <f t="shared" si="1"/>
        <v>Thursday</v>
      </c>
    </row>
    <row r="20" spans="1:7" x14ac:dyDescent="0.3">
      <c r="A20" t="s">
        <v>27</v>
      </c>
      <c r="B20" s="1">
        <v>45717</v>
      </c>
      <c r="C20" t="s">
        <v>113</v>
      </c>
      <c r="D20">
        <v>4</v>
      </c>
      <c r="E20">
        <v>2800</v>
      </c>
      <c r="F20" t="str">
        <f t="shared" si="0"/>
        <v>March</v>
      </c>
      <c r="G20" t="str">
        <f t="shared" si="1"/>
        <v>Saturday</v>
      </c>
    </row>
    <row r="21" spans="1:7" x14ac:dyDescent="0.3">
      <c r="A21" t="s">
        <v>28</v>
      </c>
      <c r="B21" s="1">
        <v>45717</v>
      </c>
      <c r="C21" t="s">
        <v>114</v>
      </c>
      <c r="D21">
        <v>5</v>
      </c>
      <c r="E21">
        <v>9000</v>
      </c>
      <c r="F21" t="str">
        <f t="shared" si="0"/>
        <v>March</v>
      </c>
      <c r="G21" t="str">
        <f t="shared" si="1"/>
        <v>Saturday</v>
      </c>
    </row>
    <row r="22" spans="1:7" x14ac:dyDescent="0.3">
      <c r="A22" t="s">
        <v>29</v>
      </c>
      <c r="B22" s="1">
        <v>45717</v>
      </c>
      <c r="C22" t="s">
        <v>115</v>
      </c>
      <c r="D22">
        <v>9</v>
      </c>
      <c r="E22">
        <v>28800</v>
      </c>
      <c r="F22" t="str">
        <f t="shared" si="0"/>
        <v>March</v>
      </c>
      <c r="G22" t="str">
        <f t="shared" si="1"/>
        <v>Saturday</v>
      </c>
    </row>
    <row r="23" spans="1:7" x14ac:dyDescent="0.3">
      <c r="A23" t="s">
        <v>30</v>
      </c>
      <c r="B23" s="1">
        <v>45719</v>
      </c>
      <c r="C23" t="s">
        <v>116</v>
      </c>
      <c r="D23">
        <v>12</v>
      </c>
      <c r="E23">
        <v>21600</v>
      </c>
      <c r="F23" t="str">
        <f t="shared" si="0"/>
        <v>March</v>
      </c>
      <c r="G23" t="str">
        <f t="shared" si="1"/>
        <v>Monday</v>
      </c>
    </row>
    <row r="24" spans="1:7" x14ac:dyDescent="0.3">
      <c r="A24" t="s">
        <v>31</v>
      </c>
      <c r="B24" s="1">
        <v>45719</v>
      </c>
      <c r="C24" t="s">
        <v>117</v>
      </c>
      <c r="D24">
        <v>2</v>
      </c>
      <c r="E24">
        <v>1400</v>
      </c>
      <c r="F24" t="str">
        <f t="shared" si="0"/>
        <v>March</v>
      </c>
      <c r="G24" t="str">
        <f t="shared" si="1"/>
        <v>Monday</v>
      </c>
    </row>
    <row r="25" spans="1:7" x14ac:dyDescent="0.3">
      <c r="A25" t="s">
        <v>32</v>
      </c>
      <c r="B25" s="1">
        <v>45720</v>
      </c>
      <c r="C25" t="s">
        <v>118</v>
      </c>
      <c r="D25">
        <v>22</v>
      </c>
      <c r="E25">
        <v>39600</v>
      </c>
      <c r="F25" t="str">
        <f t="shared" si="0"/>
        <v>March</v>
      </c>
      <c r="G25" t="str">
        <f t="shared" si="1"/>
        <v>Tuesday</v>
      </c>
    </row>
    <row r="26" spans="1:7" x14ac:dyDescent="0.3">
      <c r="A26" t="s">
        <v>33</v>
      </c>
      <c r="B26" s="1">
        <v>45726</v>
      </c>
      <c r="C26" t="s">
        <v>119</v>
      </c>
      <c r="D26">
        <v>13</v>
      </c>
      <c r="E26">
        <v>156000</v>
      </c>
      <c r="F26" t="str">
        <f t="shared" si="0"/>
        <v>March</v>
      </c>
      <c r="G26" t="str">
        <f t="shared" si="1"/>
        <v>Monday</v>
      </c>
    </row>
    <row r="27" spans="1:7" x14ac:dyDescent="0.3">
      <c r="A27" t="s">
        <v>34</v>
      </c>
      <c r="B27" s="1">
        <v>45735</v>
      </c>
      <c r="C27" t="s">
        <v>120</v>
      </c>
      <c r="D27">
        <v>1</v>
      </c>
      <c r="E27">
        <v>2800</v>
      </c>
      <c r="F27" t="str">
        <f t="shared" si="0"/>
        <v>March</v>
      </c>
      <c r="G27" t="str">
        <f t="shared" si="1"/>
        <v>Wednesday</v>
      </c>
    </row>
    <row r="28" spans="1:7" x14ac:dyDescent="0.3">
      <c r="A28" t="s">
        <v>35</v>
      </c>
      <c r="B28" s="1">
        <v>45737</v>
      </c>
      <c r="C28" t="s">
        <v>121</v>
      </c>
      <c r="D28">
        <v>5</v>
      </c>
      <c r="E28">
        <v>6000</v>
      </c>
      <c r="F28" t="str">
        <f t="shared" si="0"/>
        <v>March</v>
      </c>
      <c r="G28" t="str">
        <f t="shared" si="1"/>
        <v>Friday</v>
      </c>
    </row>
    <row r="29" spans="1:7" x14ac:dyDescent="0.3">
      <c r="A29" t="s">
        <v>36</v>
      </c>
      <c r="B29" s="1">
        <v>45740</v>
      </c>
      <c r="C29" t="s">
        <v>122</v>
      </c>
      <c r="D29">
        <v>1</v>
      </c>
      <c r="E29">
        <v>2200</v>
      </c>
      <c r="F29" t="str">
        <f t="shared" si="0"/>
        <v>March</v>
      </c>
      <c r="G29" t="str">
        <f t="shared" si="1"/>
        <v>Monday</v>
      </c>
    </row>
    <row r="30" spans="1:7" x14ac:dyDescent="0.3">
      <c r="A30" t="s">
        <v>37</v>
      </c>
      <c r="B30" s="1">
        <v>45740</v>
      </c>
      <c r="C30" t="s">
        <v>123</v>
      </c>
      <c r="D30">
        <v>2</v>
      </c>
      <c r="E30">
        <v>28000</v>
      </c>
      <c r="F30" t="str">
        <f t="shared" si="0"/>
        <v>March</v>
      </c>
      <c r="G30" t="str">
        <f t="shared" si="1"/>
        <v>Monday</v>
      </c>
    </row>
    <row r="31" spans="1:7" x14ac:dyDescent="0.3">
      <c r="A31" t="s">
        <v>126</v>
      </c>
      <c r="B31" s="1">
        <v>45741</v>
      </c>
      <c r="C31" t="s">
        <v>124</v>
      </c>
      <c r="D31">
        <v>3</v>
      </c>
      <c r="E31">
        <v>3600</v>
      </c>
      <c r="F31" t="str">
        <f t="shared" si="0"/>
        <v>March</v>
      </c>
      <c r="G31" t="str">
        <f t="shared" si="1"/>
        <v>Tuesday</v>
      </c>
    </row>
  </sheetData>
  <conditionalFormatting sqref="B2:G31">
    <cfRule type="colorScale" priority="1">
      <colorScale>
        <cfvo type="min"/>
        <cfvo type="percentile" val="50"/>
        <cfvo type="max"/>
        <color rgb="FFF8696B"/>
        <color rgb="FFFCFCFF"/>
        <color rgb="FF63BE7B"/>
      </colorScale>
    </cfRule>
  </conditionalFormatting>
  <pageMargins left="0.7" right="0.7" top="0.75" bottom="0.75" header="0.3" footer="0.3"/>
  <tableParts count="1">
    <tablePart r:id="rId1"/>
  </tableParts>
  <extLst>
    <ext xmlns:x14="http://schemas.microsoft.com/office/spreadsheetml/2009/9/main" uri="{05C60535-1F16-4fd2-B633-F4F36F0B64E0}">
      <x14:sparklineGroups xmlns:xm="http://schemas.microsoft.com/office/excel/2006/main">
        <x14:sparklineGroup displayEmptyCellsAs="span" xr2:uid="{9FE49D57-314B-4445-B456-63D2917F5556}">
          <x14:colorSeries rgb="FF376092"/>
          <x14:colorNegative rgb="FFD00000"/>
          <x14:colorAxis rgb="FF000000"/>
          <x14:colorMarkers rgb="FFD00000"/>
          <x14:colorFirst rgb="FFD00000"/>
          <x14:colorLast rgb="FFD00000"/>
          <x14:colorHigh rgb="FFD00000"/>
          <x14:colorLow rgb="FFD00000"/>
          <x14:sparklines>
            <x14:sparkline>
              <xm:f>'Quick Analysis'!B2:G2</xm:f>
              <xm:sqref>H2</xm:sqref>
            </x14:sparkline>
            <x14:sparkline>
              <xm:f>'Quick Analysis'!B3:G3</xm:f>
              <xm:sqref>H3</xm:sqref>
            </x14:sparkline>
            <x14:sparkline>
              <xm:f>'Quick Analysis'!B4:G4</xm:f>
              <xm:sqref>H4</xm:sqref>
            </x14:sparkline>
            <x14:sparkline>
              <xm:f>'Quick Analysis'!B5:G5</xm:f>
              <xm:sqref>H5</xm:sqref>
            </x14:sparkline>
            <x14:sparkline>
              <xm:f>'Quick Analysis'!B6:G6</xm:f>
              <xm:sqref>H6</xm:sqref>
            </x14:sparkline>
            <x14:sparkline>
              <xm:f>'Quick Analysis'!B7:G7</xm:f>
              <xm:sqref>H7</xm:sqref>
            </x14:sparkline>
            <x14:sparkline>
              <xm:f>'Quick Analysis'!B8:G8</xm:f>
              <xm:sqref>H8</xm:sqref>
            </x14:sparkline>
            <x14:sparkline>
              <xm:f>'Quick Analysis'!B9:G9</xm:f>
              <xm:sqref>H9</xm:sqref>
            </x14:sparkline>
            <x14:sparkline>
              <xm:f>'Quick Analysis'!B10:G10</xm:f>
              <xm:sqref>H10</xm:sqref>
            </x14:sparkline>
            <x14:sparkline>
              <xm:f>'Quick Analysis'!B11:G11</xm:f>
              <xm:sqref>H11</xm:sqref>
            </x14:sparkline>
            <x14:sparkline>
              <xm:f>'Quick Analysis'!B12:G12</xm:f>
              <xm:sqref>H12</xm:sqref>
            </x14:sparkline>
            <x14:sparkline>
              <xm:f>'Quick Analysis'!B13:G13</xm:f>
              <xm:sqref>H13</xm:sqref>
            </x14:sparkline>
            <x14:sparkline>
              <xm:f>'Quick Analysis'!B14:G14</xm:f>
              <xm:sqref>H14</xm:sqref>
            </x14:sparkline>
            <x14:sparkline>
              <xm:f>'Quick Analysis'!B15:G15</xm:f>
              <xm:sqref>H15</xm:sqref>
            </x14:sparkline>
            <x14:sparkline>
              <xm:f>'Quick Analysis'!B16:G16</xm:f>
              <xm:sqref>H16</xm:sqref>
            </x14:sparkline>
            <x14:sparkline>
              <xm:f>'Quick Analysis'!B17:G17</xm:f>
              <xm:sqref>H17</xm:sqref>
            </x14:sparkline>
            <x14:sparkline>
              <xm:f>'Quick Analysis'!B18:G18</xm:f>
              <xm:sqref>H18</xm:sqref>
            </x14:sparkline>
            <x14:sparkline>
              <xm:f>'Quick Analysis'!B19:G19</xm:f>
              <xm:sqref>H19</xm:sqref>
            </x14:sparkline>
            <x14:sparkline>
              <xm:f>'Quick Analysis'!B20:G20</xm:f>
              <xm:sqref>H20</xm:sqref>
            </x14:sparkline>
            <x14:sparkline>
              <xm:f>'Quick Analysis'!B21:G21</xm:f>
              <xm:sqref>H21</xm:sqref>
            </x14:sparkline>
            <x14:sparkline>
              <xm:f>'Quick Analysis'!B22:G22</xm:f>
              <xm:sqref>H22</xm:sqref>
            </x14:sparkline>
            <x14:sparkline>
              <xm:f>'Quick Analysis'!B23:G23</xm:f>
              <xm:sqref>H23</xm:sqref>
            </x14:sparkline>
            <x14:sparkline>
              <xm:f>'Quick Analysis'!B24:G24</xm:f>
              <xm:sqref>H24</xm:sqref>
            </x14:sparkline>
            <x14:sparkline>
              <xm:f>'Quick Analysis'!B25:G25</xm:f>
              <xm:sqref>H25</xm:sqref>
            </x14:sparkline>
            <x14:sparkline>
              <xm:f>'Quick Analysis'!B26:G26</xm:f>
              <xm:sqref>H26</xm:sqref>
            </x14:sparkline>
            <x14:sparkline>
              <xm:f>'Quick Analysis'!B27:G27</xm:f>
              <xm:sqref>H27</xm:sqref>
            </x14:sparkline>
            <x14:sparkline>
              <xm:f>'Quick Analysis'!B28:G28</xm:f>
              <xm:sqref>H28</xm:sqref>
            </x14:sparkline>
            <x14:sparkline>
              <xm:f>'Quick Analysis'!B29:G29</xm:f>
              <xm:sqref>H29</xm:sqref>
            </x14:sparkline>
            <x14:sparkline>
              <xm:f>'Quick Analysis'!B30:G30</xm:f>
              <xm:sqref>H30</xm:sqref>
            </x14:sparkline>
            <x14:sparkline>
              <xm:f>'Quick Analysis'!B31:G31</xm:f>
              <xm:sqref>H31</xm:sqref>
            </x14:sparkline>
          </x14:sparklines>
        </x14:sparklineGroup>
      </x14:sparklineGroup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E167D-89BB-441C-B992-A1F4214D3EAB}">
  <dimension ref="A1:B31"/>
  <sheetViews>
    <sheetView tabSelected="1" topLeftCell="A3" workbookViewId="0">
      <selection activeCell="K27" sqref="K27"/>
    </sheetView>
  </sheetViews>
  <sheetFormatPr defaultRowHeight="14.4" x14ac:dyDescent="0.3"/>
  <cols>
    <col min="1" max="1" width="10.44140625" customWidth="1"/>
    <col min="2" max="2" width="13.6640625" customWidth="1"/>
  </cols>
  <sheetData>
    <row r="1" spans="1:2" x14ac:dyDescent="0.3">
      <c r="A1" t="s">
        <v>7</v>
      </c>
      <c r="B1" t="s">
        <v>8</v>
      </c>
    </row>
    <row r="2" spans="1:2" x14ac:dyDescent="0.3">
      <c r="A2" t="s">
        <v>42</v>
      </c>
      <c r="B2" t="s">
        <v>38</v>
      </c>
    </row>
    <row r="3" spans="1:2" x14ac:dyDescent="0.3">
      <c r="A3" t="s">
        <v>43</v>
      </c>
      <c r="B3" t="s">
        <v>39</v>
      </c>
    </row>
    <row r="4" spans="1:2" x14ac:dyDescent="0.3">
      <c r="A4" t="s">
        <v>44</v>
      </c>
      <c r="B4" t="s">
        <v>40</v>
      </c>
    </row>
    <row r="5" spans="1:2" x14ac:dyDescent="0.3">
      <c r="A5" t="s">
        <v>45</v>
      </c>
      <c r="B5" t="s">
        <v>41</v>
      </c>
    </row>
    <row r="6" spans="1:2" x14ac:dyDescent="0.3">
      <c r="A6" t="s">
        <v>46</v>
      </c>
      <c r="B6" t="s">
        <v>41</v>
      </c>
    </row>
    <row r="7" spans="1:2" x14ac:dyDescent="0.3">
      <c r="A7" t="s">
        <v>47</v>
      </c>
      <c r="B7" t="s">
        <v>40</v>
      </c>
    </row>
    <row r="8" spans="1:2" x14ac:dyDescent="0.3">
      <c r="A8" t="s">
        <v>48</v>
      </c>
      <c r="B8" t="s">
        <v>39</v>
      </c>
    </row>
    <row r="9" spans="1:2" x14ac:dyDescent="0.3">
      <c r="A9" t="s">
        <v>49</v>
      </c>
      <c r="B9" t="s">
        <v>41</v>
      </c>
    </row>
    <row r="10" spans="1:2" x14ac:dyDescent="0.3">
      <c r="A10" t="s">
        <v>50</v>
      </c>
      <c r="B10" t="s">
        <v>39</v>
      </c>
    </row>
    <row r="11" spans="1:2" x14ac:dyDescent="0.3">
      <c r="A11" t="s">
        <v>51</v>
      </c>
      <c r="B11" t="s">
        <v>41</v>
      </c>
    </row>
    <row r="12" spans="1:2" x14ac:dyDescent="0.3">
      <c r="A12" t="s">
        <v>52</v>
      </c>
      <c r="B12" t="s">
        <v>38</v>
      </c>
    </row>
    <row r="13" spans="1:2" x14ac:dyDescent="0.3">
      <c r="A13" t="s">
        <v>53</v>
      </c>
      <c r="B13" t="s">
        <v>39</v>
      </c>
    </row>
    <row r="14" spans="1:2" x14ac:dyDescent="0.3">
      <c r="A14" t="s">
        <v>54</v>
      </c>
      <c r="B14" t="s">
        <v>40</v>
      </c>
    </row>
    <row r="15" spans="1:2" x14ac:dyDescent="0.3">
      <c r="A15" t="s">
        <v>55</v>
      </c>
      <c r="B15" t="s">
        <v>39</v>
      </c>
    </row>
    <row r="16" spans="1:2" x14ac:dyDescent="0.3">
      <c r="A16" t="s">
        <v>56</v>
      </c>
      <c r="B16" t="s">
        <v>39</v>
      </c>
    </row>
    <row r="17" spans="1:2" x14ac:dyDescent="0.3">
      <c r="A17" t="s">
        <v>57</v>
      </c>
      <c r="B17" t="s">
        <v>40</v>
      </c>
    </row>
    <row r="18" spans="1:2" x14ac:dyDescent="0.3">
      <c r="A18" t="s">
        <v>58</v>
      </c>
      <c r="B18" t="s">
        <v>38</v>
      </c>
    </row>
    <row r="19" spans="1:2" x14ac:dyDescent="0.3">
      <c r="A19" t="s">
        <v>59</v>
      </c>
      <c r="B19" t="s">
        <v>38</v>
      </c>
    </row>
    <row r="20" spans="1:2" x14ac:dyDescent="0.3">
      <c r="A20" t="s">
        <v>60</v>
      </c>
      <c r="B20" t="s">
        <v>39</v>
      </c>
    </row>
    <row r="21" spans="1:2" x14ac:dyDescent="0.3">
      <c r="A21" t="s">
        <v>61</v>
      </c>
      <c r="B21" t="s">
        <v>40</v>
      </c>
    </row>
    <row r="22" spans="1:2" x14ac:dyDescent="0.3">
      <c r="A22" t="s">
        <v>62</v>
      </c>
      <c r="B22" t="s">
        <v>40</v>
      </c>
    </row>
    <row r="23" spans="1:2" x14ac:dyDescent="0.3">
      <c r="A23" t="s">
        <v>63</v>
      </c>
      <c r="B23" t="s">
        <v>40</v>
      </c>
    </row>
    <row r="24" spans="1:2" x14ac:dyDescent="0.3">
      <c r="A24" t="s">
        <v>64</v>
      </c>
      <c r="B24" t="s">
        <v>39</v>
      </c>
    </row>
    <row r="25" spans="1:2" x14ac:dyDescent="0.3">
      <c r="A25" t="s">
        <v>65</v>
      </c>
      <c r="B25" t="s">
        <v>39</v>
      </c>
    </row>
    <row r="26" spans="1:2" x14ac:dyDescent="0.3">
      <c r="A26" t="s">
        <v>66</v>
      </c>
      <c r="B26" t="s">
        <v>38</v>
      </c>
    </row>
    <row r="27" spans="1:2" x14ac:dyDescent="0.3">
      <c r="A27" t="s">
        <v>67</v>
      </c>
      <c r="B27" t="s">
        <v>41</v>
      </c>
    </row>
    <row r="28" spans="1:2" x14ac:dyDescent="0.3">
      <c r="A28" t="s">
        <v>68</v>
      </c>
      <c r="B28" t="s">
        <v>41</v>
      </c>
    </row>
    <row r="29" spans="1:2" x14ac:dyDescent="0.3">
      <c r="A29" t="s">
        <v>69</v>
      </c>
      <c r="B29" t="s">
        <v>39</v>
      </c>
    </row>
    <row r="30" spans="1:2" x14ac:dyDescent="0.3">
      <c r="A30" t="s">
        <v>70</v>
      </c>
      <c r="B30" t="s">
        <v>41</v>
      </c>
    </row>
    <row r="31" spans="1:2" x14ac:dyDescent="0.3">
      <c r="A31" t="s">
        <v>71</v>
      </c>
      <c r="B31" t="s">
        <v>39</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Sheet6</vt:lpstr>
      <vt:lpstr>Sheet8</vt:lpstr>
      <vt:lpstr>Dashboard</vt:lpstr>
      <vt:lpstr>Sheet3</vt:lpstr>
      <vt:lpstr>PivotTable</vt:lpstr>
      <vt:lpstr>Sales</vt:lpstr>
      <vt:lpstr>Products</vt:lpstr>
      <vt:lpstr>Result QA1</vt:lpstr>
      <vt:lpstr>QA Pivot table</vt:lpstr>
      <vt:lpstr>QA2</vt:lpstr>
      <vt:lpstr>Quick Analysis</vt:lpstr>
      <vt:lpstr>Region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Alfiya Ismail</dc:creator>
  <cp:lastModifiedBy>Alfiya Ismail</cp:lastModifiedBy>
  <dcterms:created xsi:type="dcterms:W3CDTF">2026-10-24T00:25:18Z</dcterms:created>
  <dcterms:modified xsi:type="dcterms:W3CDTF">2026-10-29T00:31:27Z</dcterms:modified>
</cp:coreProperties>
</file>